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ngin.murat\Desktop\ÖNEMLİ\"/>
    </mc:Choice>
  </mc:AlternateContent>
  <xr:revisionPtr revIDLastSave="0" documentId="13_ncr:1_{D8284F84-E027-4F62-9E3C-EFA70F41C5F8}" xr6:coauthVersionLast="47" xr6:coauthVersionMax="47" xr10:uidLastSave="{00000000-0000-0000-0000-000000000000}"/>
  <bookViews>
    <workbookView xWindow="-113" yWindow="-113" windowWidth="24267" windowHeight="14526" activeTab="1" xr2:uid="{00000000-000D-0000-FFFF-FFFF00000000}"/>
  </bookViews>
  <sheets>
    <sheet name="DASHBOARD" sheetId="4" r:id="rId1"/>
    <sheet name="2026" sheetId="3" r:id="rId2"/>
    <sheet name="2025" sheetId="1" r:id="rId3"/>
    <sheet name="2024" sheetId="2" r:id="rId4"/>
  </sheets>
  <definedNames>
    <definedName name="_xlnm._FilterDatabase" localSheetId="2" hidden="1">'2025'!$A$1:$N$104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6" i="3" l="1"/>
  <c r="C12" i="4"/>
  <c r="B12" i="4"/>
  <c r="C10" i="4"/>
  <c r="B10" i="4"/>
  <c r="C8" i="4"/>
  <c r="B8" i="4"/>
  <c r="C7" i="4"/>
  <c r="B7" i="4"/>
  <c r="D47" i="4"/>
  <c r="D45" i="4"/>
  <c r="D43" i="4"/>
  <c r="C47" i="4"/>
  <c r="C45" i="4"/>
  <c r="C43" i="4"/>
  <c r="B47" i="4"/>
  <c r="B45" i="4"/>
  <c r="B43" i="4"/>
  <c r="N72" i="3"/>
  <c r="N73" i="3"/>
  <c r="N74" i="3"/>
  <c r="G123" i="3" l="1"/>
  <c r="H123" i="3"/>
  <c r="I123" i="3"/>
  <c r="J123" i="3"/>
  <c r="K123" i="3"/>
  <c r="L123" i="3"/>
  <c r="M123" i="3"/>
  <c r="O73" i="3"/>
  <c r="O74" i="3"/>
  <c r="N75" i="3"/>
  <c r="O75" i="3"/>
  <c r="O76" i="3"/>
  <c r="N77" i="3"/>
  <c r="O77" i="3"/>
  <c r="N78" i="3"/>
  <c r="O78" i="3"/>
  <c r="N79" i="3"/>
  <c r="O79" i="3"/>
  <c r="N80" i="3"/>
  <c r="O80" i="3"/>
  <c r="N81" i="3"/>
  <c r="O81" i="3"/>
  <c r="N82" i="3"/>
  <c r="O82" i="3"/>
  <c r="N83" i="3"/>
  <c r="O83" i="3"/>
  <c r="N84" i="3"/>
  <c r="O84" i="3"/>
  <c r="N85" i="3"/>
  <c r="O85" i="3"/>
  <c r="N86" i="3"/>
  <c r="O86" i="3"/>
  <c r="N87" i="3"/>
  <c r="P82" i="3" s="1"/>
  <c r="O87" i="3"/>
  <c r="N88" i="3"/>
  <c r="O88" i="3"/>
  <c r="N89" i="3"/>
  <c r="O89" i="3"/>
  <c r="N90" i="3"/>
  <c r="O90" i="3"/>
  <c r="N91" i="3"/>
  <c r="O91" i="3"/>
  <c r="N92" i="3"/>
  <c r="P92" i="3" s="1"/>
  <c r="O92" i="3"/>
  <c r="N93" i="3"/>
  <c r="O93" i="3"/>
  <c r="N94" i="3"/>
  <c r="O94" i="3"/>
  <c r="N95" i="3"/>
  <c r="O95" i="3"/>
  <c r="N96" i="3"/>
  <c r="O96" i="3"/>
  <c r="N97" i="3"/>
  <c r="O97" i="3"/>
  <c r="N98" i="3"/>
  <c r="O98" i="3"/>
  <c r="N99" i="3"/>
  <c r="O99" i="3"/>
  <c r="N100" i="3"/>
  <c r="O100" i="3"/>
  <c r="N101" i="3"/>
  <c r="O101" i="3"/>
  <c r="N102" i="3"/>
  <c r="P102" i="3" s="1"/>
  <c r="O102" i="3"/>
  <c r="N103" i="3"/>
  <c r="O103" i="3"/>
  <c r="N104" i="3"/>
  <c r="O104" i="3"/>
  <c r="N105" i="3"/>
  <c r="O105" i="3"/>
  <c r="N106" i="3"/>
  <c r="O106" i="3"/>
  <c r="N107" i="3"/>
  <c r="O107" i="3"/>
  <c r="N108" i="3"/>
  <c r="O108" i="3"/>
  <c r="N109" i="3"/>
  <c r="O109" i="3"/>
  <c r="N110" i="3"/>
  <c r="O110" i="3"/>
  <c r="N111" i="3"/>
  <c r="O111" i="3"/>
  <c r="N112" i="3"/>
  <c r="P112" i="3" s="1"/>
  <c r="O112" i="3"/>
  <c r="N113" i="3"/>
  <c r="O113" i="3"/>
  <c r="N114" i="3"/>
  <c r="O114" i="3"/>
  <c r="N115" i="3"/>
  <c r="O115" i="3"/>
  <c r="N116" i="3"/>
  <c r="O116" i="3"/>
  <c r="N117" i="3"/>
  <c r="O117" i="3"/>
  <c r="N118" i="3"/>
  <c r="O118" i="3"/>
  <c r="N119" i="3"/>
  <c r="O119" i="3"/>
  <c r="N120" i="3"/>
  <c r="O120" i="3"/>
  <c r="N121" i="3"/>
  <c r="O121" i="3"/>
  <c r="O72" i="3"/>
  <c r="B112" i="3"/>
  <c r="B102" i="3"/>
  <c r="B92" i="3"/>
  <c r="B82" i="3"/>
  <c r="B72" i="3"/>
  <c r="B123" i="3" s="1"/>
  <c r="R4" i="3"/>
  <c r="S4" i="3"/>
  <c r="R5" i="3"/>
  <c r="S5" i="3"/>
  <c r="R6" i="3"/>
  <c r="S6" i="3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Q16" i="3"/>
  <c r="R16" i="3"/>
  <c r="S16" i="3"/>
  <c r="Q17" i="3"/>
  <c r="R17" i="3"/>
  <c r="S17" i="3"/>
  <c r="Q18" i="3"/>
  <c r="Q19" i="3" s="1"/>
  <c r="Q20" i="3" s="1"/>
  <c r="R18" i="3"/>
  <c r="S18" i="3"/>
  <c r="R19" i="3"/>
  <c r="S19" i="3"/>
  <c r="R20" i="3"/>
  <c r="S20" i="3"/>
  <c r="Q21" i="3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Q32" i="3"/>
  <c r="Q33" i="3" s="1"/>
  <c r="Q34" i="3" s="1"/>
  <c r="Q35" i="3" s="1"/>
  <c r="Q36" i="3" s="1"/>
  <c r="Q37" i="3" s="1"/>
  <c r="Q38" i="3" s="1"/>
  <c r="Q39" i="3" s="1"/>
  <c r="Q40" i="3" s="1"/>
  <c r="Q41" i="3" s="1"/>
  <c r="R32" i="3"/>
  <c r="S32" i="3"/>
  <c r="R33" i="3"/>
  <c r="S33" i="3"/>
  <c r="R34" i="3"/>
  <c r="S34" i="3"/>
  <c r="R35" i="3"/>
  <c r="S35" i="3"/>
  <c r="R36" i="3"/>
  <c r="S36" i="3"/>
  <c r="R37" i="3"/>
  <c r="S37" i="3"/>
  <c r="R38" i="3"/>
  <c r="S38" i="3"/>
  <c r="R39" i="3"/>
  <c r="S39" i="3"/>
  <c r="R40" i="3"/>
  <c r="S40" i="3"/>
  <c r="R41" i="3"/>
  <c r="S41" i="3"/>
  <c r="Q42" i="3"/>
  <c r="Q43" i="3" s="1"/>
  <c r="Q44" i="3" s="1"/>
  <c r="Q45" i="3" s="1"/>
  <c r="Q46" i="3" s="1"/>
  <c r="Q47" i="3" s="1"/>
  <c r="Q48" i="3" s="1"/>
  <c r="Q49" i="3" s="1"/>
  <c r="Q50" i="3" s="1"/>
  <c r="Q51" i="3" s="1"/>
  <c r="R42" i="3"/>
  <c r="S42" i="3"/>
  <c r="R43" i="3"/>
  <c r="S43" i="3"/>
  <c r="R44" i="3"/>
  <c r="S44" i="3"/>
  <c r="R45" i="3"/>
  <c r="S45" i="3"/>
  <c r="R46" i="3"/>
  <c r="S46" i="3"/>
  <c r="R47" i="3"/>
  <c r="S47" i="3"/>
  <c r="R48" i="3"/>
  <c r="S48" i="3"/>
  <c r="R49" i="3"/>
  <c r="S49" i="3"/>
  <c r="R50" i="3"/>
  <c r="S50" i="3"/>
  <c r="R51" i="3"/>
  <c r="S51" i="3"/>
  <c r="Q52" i="3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R52" i="3"/>
  <c r="S52" i="3"/>
  <c r="R53" i="3"/>
  <c r="S53" i="3"/>
  <c r="R54" i="3"/>
  <c r="S54" i="3"/>
  <c r="R55" i="3"/>
  <c r="S55" i="3"/>
  <c r="R56" i="3"/>
  <c r="S56" i="3"/>
  <c r="R57" i="3"/>
  <c r="S57" i="3"/>
  <c r="R58" i="3"/>
  <c r="S58" i="3"/>
  <c r="R59" i="3"/>
  <c r="S59" i="3"/>
  <c r="R60" i="3"/>
  <c r="S60" i="3"/>
  <c r="R61" i="3"/>
  <c r="S61" i="3"/>
  <c r="R62" i="3"/>
  <c r="S62" i="3"/>
  <c r="R63" i="3"/>
  <c r="S63" i="3"/>
  <c r="R64" i="3"/>
  <c r="S64" i="3"/>
  <c r="Q65" i="3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28" i="3" s="1"/>
  <c r="Q129" i="3" s="1"/>
  <c r="Q130" i="3" s="1"/>
  <c r="Q131" i="3" s="1"/>
  <c r="Q132" i="3" s="1"/>
  <c r="Q133" i="3" s="1"/>
  <c r="Q134" i="3" s="1"/>
  <c r="Q135" i="3" s="1"/>
  <c r="Q136" i="3" s="1"/>
  <c r="Q137" i="3" s="1"/>
  <c r="Q138" i="3" s="1"/>
  <c r="Q139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4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Q183" i="3" s="1"/>
  <c r="Q184" i="3" s="1"/>
  <c r="Q185" i="3" s="1"/>
  <c r="Q186" i="3" s="1"/>
  <c r="Q187" i="3" s="1"/>
  <c r="Q188" i="3" s="1"/>
  <c r="Q189" i="3" s="1"/>
  <c r="Q190" i="3" s="1"/>
  <c r="Q191" i="3" s="1"/>
  <c r="Q192" i="3" s="1"/>
  <c r="Q193" i="3" s="1"/>
  <c r="Q194" i="3" s="1"/>
  <c r="Q195" i="3" s="1"/>
  <c r="Q196" i="3" s="1"/>
  <c r="Q197" i="3" s="1"/>
  <c r="Q198" i="3" s="1"/>
  <c r="Q199" i="3" s="1"/>
  <c r="Q200" i="3" s="1"/>
  <c r="Q201" i="3" s="1"/>
  <c r="Q202" i="3" s="1"/>
  <c r="Q203" i="3" s="1"/>
  <c r="Q204" i="3" s="1"/>
  <c r="Q205" i="3" s="1"/>
  <c r="Q206" i="3" s="1"/>
  <c r="Q207" i="3" s="1"/>
  <c r="Q208" i="3" s="1"/>
  <c r="Q209" i="3" s="1"/>
  <c r="Q210" i="3" s="1"/>
  <c r="Q211" i="3" s="1"/>
  <c r="Q212" i="3" s="1"/>
  <c r="Q213" i="3" s="1"/>
  <c r="Q214" i="3" s="1"/>
  <c r="Q215" i="3" s="1"/>
  <c r="Q216" i="3" s="1"/>
  <c r="Q217" i="3" s="1"/>
  <c r="Q218" i="3" s="1"/>
  <c r="Q219" i="3" s="1"/>
  <c r="Q220" i="3" s="1"/>
  <c r="Q221" i="3" s="1"/>
  <c r="Q222" i="3" s="1"/>
  <c r="Q223" i="3" s="1"/>
  <c r="Q224" i="3" s="1"/>
  <c r="Q225" i="3" s="1"/>
  <c r="Q226" i="3" s="1"/>
  <c r="Q227" i="3" s="1"/>
  <c r="Q228" i="3" s="1"/>
  <c r="Q229" i="3" s="1"/>
  <c r="Q230" i="3" s="1"/>
  <c r="Q231" i="3" s="1"/>
  <c r="Q232" i="3" s="1"/>
  <c r="Q233" i="3" s="1"/>
  <c r="Q234" i="3" s="1"/>
  <c r="Q235" i="3" s="1"/>
  <c r="Q236" i="3" s="1"/>
  <c r="Q237" i="3" s="1"/>
  <c r="Q238" i="3" s="1"/>
  <c r="Q239" i="3" s="1"/>
  <c r="Q240" i="3" s="1"/>
  <c r="Q241" i="3" s="1"/>
  <c r="Q242" i="3" s="1"/>
  <c r="Q243" i="3" s="1"/>
  <c r="Q244" i="3" s="1"/>
  <c r="Q245" i="3" s="1"/>
  <c r="Q246" i="3" s="1"/>
  <c r="Q247" i="3" s="1"/>
  <c r="Q248" i="3" s="1"/>
  <c r="Q249" i="3" s="1"/>
  <c r="Q250" i="3" s="1"/>
  <c r="Q251" i="3" s="1"/>
  <c r="Q252" i="3" s="1"/>
  <c r="Q253" i="3" s="1"/>
  <c r="Q254" i="3" s="1"/>
  <c r="Q255" i="3" s="1"/>
  <c r="Q256" i="3" s="1"/>
  <c r="Q257" i="3" s="1"/>
  <c r="Q258" i="3" s="1"/>
  <c r="Q259" i="3" s="1"/>
  <c r="Q260" i="3" s="1"/>
  <c r="Q261" i="3" s="1"/>
  <c r="Q262" i="3" s="1"/>
  <c r="Q263" i="3" s="1"/>
  <c r="Q264" i="3" s="1"/>
  <c r="Q265" i="3" s="1"/>
  <c r="Q266" i="3" s="1"/>
  <c r="Q267" i="3" s="1"/>
  <c r="Q268" i="3" s="1"/>
  <c r="Q269" i="3" s="1"/>
  <c r="Q270" i="3" s="1"/>
  <c r="Q271" i="3" s="1"/>
  <c r="Q272" i="3" s="1"/>
  <c r="Q273" i="3" s="1"/>
  <c r="Q274" i="3" s="1"/>
  <c r="Q275" i="3" s="1"/>
  <c r="Q276" i="3" s="1"/>
  <c r="Q277" i="3" s="1"/>
  <c r="Q278" i="3" s="1"/>
  <c r="Q279" i="3" s="1"/>
  <c r="Q280" i="3" s="1"/>
  <c r="Q281" i="3" s="1"/>
  <c r="Q282" i="3" s="1"/>
  <c r="Q283" i="3" s="1"/>
  <c r="Q284" i="3" s="1"/>
  <c r="Q285" i="3" s="1"/>
  <c r="Q286" i="3" s="1"/>
  <c r="Q287" i="3" s="1"/>
  <c r="Q288" i="3" s="1"/>
  <c r="Q289" i="3" s="1"/>
  <c r="Q290" i="3" s="1"/>
  <c r="Q291" i="3" s="1"/>
  <c r="Q292" i="3" s="1"/>
  <c r="Q293" i="3" s="1"/>
  <c r="Q294" i="3" s="1"/>
  <c r="Q295" i="3" s="1"/>
  <c r="Q296" i="3" s="1"/>
  <c r="Q297" i="3" s="1"/>
  <c r="Q298" i="3" s="1"/>
  <c r="Q299" i="3" s="1"/>
  <c r="Q300" i="3" s="1"/>
  <c r="Q301" i="3" s="1"/>
  <c r="Q302" i="3" s="1"/>
  <c r="Q303" i="3" s="1"/>
  <c r="Q304" i="3" s="1"/>
  <c r="Q305" i="3" s="1"/>
  <c r="Q306" i="3" s="1"/>
  <c r="Q307" i="3" s="1"/>
  <c r="Q308" i="3" s="1"/>
  <c r="Q309" i="3" s="1"/>
  <c r="Q310" i="3" s="1"/>
  <c r="Q311" i="3" s="1"/>
  <c r="Q312" i="3" s="1"/>
  <c r="Q313" i="3" s="1"/>
  <c r="Q314" i="3" s="1"/>
  <c r="Q315" i="3" s="1"/>
  <c r="Q316" i="3" s="1"/>
  <c r="Q317" i="3" s="1"/>
  <c r="Q318" i="3" s="1"/>
  <c r="Q319" i="3" s="1"/>
  <c r="Q320" i="3" s="1"/>
  <c r="Q321" i="3" s="1"/>
  <c r="Q322" i="3" s="1"/>
  <c r="Q323" i="3" s="1"/>
  <c r="Q324" i="3" s="1"/>
  <c r="Q325" i="3" s="1"/>
  <c r="Q326" i="3" s="1"/>
  <c r="Q327" i="3" s="1"/>
  <c r="Q328" i="3" s="1"/>
  <c r="Q329" i="3" s="1"/>
  <c r="Q330" i="3" s="1"/>
  <c r="Q331" i="3" s="1"/>
  <c r="Q332" i="3" s="1"/>
  <c r="Q333" i="3" s="1"/>
  <c r="Q334" i="3" s="1"/>
  <c r="Q335" i="3" s="1"/>
  <c r="Q336" i="3" s="1"/>
  <c r="Q337" i="3" s="1"/>
  <c r="Q338" i="3" s="1"/>
  <c r="Q339" i="3" s="1"/>
  <c r="Q340" i="3" s="1"/>
  <c r="Q341" i="3" s="1"/>
  <c r="Q342" i="3" s="1"/>
  <c r="Q343" i="3" s="1"/>
  <c r="Q344" i="3" s="1"/>
  <c r="Q345" i="3" s="1"/>
  <c r="Q346" i="3" s="1"/>
  <c r="Q347" i="3" s="1"/>
  <c r="Q348" i="3" s="1"/>
  <c r="Q349" i="3" s="1"/>
  <c r="Q350" i="3" s="1"/>
  <c r="Q351" i="3" s="1"/>
  <c r="Q352" i="3" s="1"/>
  <c r="Q353" i="3" s="1"/>
  <c r="Q354" i="3" s="1"/>
  <c r="Q355" i="3" s="1"/>
  <c r="Q356" i="3" s="1"/>
  <c r="Q357" i="3" s="1"/>
  <c r="Q358" i="3" s="1"/>
  <c r="Q359" i="3" s="1"/>
  <c r="Q360" i="3" s="1"/>
  <c r="Q361" i="3" s="1"/>
  <c r="Q362" i="3" s="1"/>
  <c r="Q363" i="3" s="1"/>
  <c r="Q364" i="3" s="1"/>
  <c r="Q365" i="3" s="1"/>
  <c r="Q366" i="3" s="1"/>
  <c r="Q367" i="3" s="1"/>
  <c r="Q368" i="3" s="1"/>
  <c r="Q369" i="3" s="1"/>
  <c r="Q370" i="3" s="1"/>
  <c r="Q371" i="3" s="1"/>
  <c r="Q372" i="3" s="1"/>
  <c r="Q373" i="3" s="1"/>
  <c r="Q374" i="3" s="1"/>
  <c r="Q375" i="3" s="1"/>
  <c r="Q376" i="3" s="1"/>
  <c r="Q377" i="3" s="1"/>
  <c r="Q378" i="3" s="1"/>
  <c r="Q379" i="3" s="1"/>
  <c r="Q380" i="3" s="1"/>
  <c r="Q381" i="3" s="1"/>
  <c r="Q382" i="3" s="1"/>
  <c r="Q383" i="3" s="1"/>
  <c r="Q384" i="3" s="1"/>
  <c r="Q385" i="3" s="1"/>
  <c r="Q386" i="3" s="1"/>
  <c r="Q387" i="3" s="1"/>
  <c r="Q388" i="3" s="1"/>
  <c r="Q389" i="3" s="1"/>
  <c r="Q390" i="3" s="1"/>
  <c r="Q391" i="3" s="1"/>
  <c r="Q392" i="3" s="1"/>
  <c r="Q393" i="3" s="1"/>
  <c r="Q394" i="3" s="1"/>
  <c r="Q395" i="3" s="1"/>
  <c r="Q396" i="3" s="1"/>
  <c r="Q397" i="3" s="1"/>
  <c r="Q398" i="3" s="1"/>
  <c r="Q399" i="3" s="1"/>
  <c r="Q400" i="3" s="1"/>
  <c r="Q401" i="3" s="1"/>
  <c r="Q402" i="3" s="1"/>
  <c r="Q403" i="3" s="1"/>
  <c r="Q404" i="3" s="1"/>
  <c r="Q405" i="3" s="1"/>
  <c r="Q406" i="3" s="1"/>
  <c r="Q407" i="3" s="1"/>
  <c r="Q408" i="3" s="1"/>
  <c r="Q409" i="3" s="1"/>
  <c r="Q410" i="3" s="1"/>
  <c r="Q411" i="3" s="1"/>
  <c r="Q412" i="3" s="1"/>
  <c r="Q413" i="3" s="1"/>
  <c r="Q414" i="3" s="1"/>
  <c r="Q415" i="3" s="1"/>
  <c r="Q416" i="3" s="1"/>
  <c r="Q417" i="3" s="1"/>
  <c r="Q418" i="3" s="1"/>
  <c r="Q419" i="3" s="1"/>
  <c r="Q420" i="3" s="1"/>
  <c r="Q421" i="3" s="1"/>
  <c r="Q422" i="3" s="1"/>
  <c r="Q423" i="3" s="1"/>
  <c r="Q424" i="3" s="1"/>
  <c r="Q425" i="3" s="1"/>
  <c r="Q426" i="3" s="1"/>
  <c r="Q427" i="3" s="1"/>
  <c r="Q428" i="3" s="1"/>
  <c r="Q429" i="3" s="1"/>
  <c r="Q430" i="3" s="1"/>
  <c r="Q431" i="3" s="1"/>
  <c r="Q432" i="3" s="1"/>
  <c r="Q433" i="3" s="1"/>
  <c r="Q434" i="3" s="1"/>
  <c r="Q435" i="3" s="1"/>
  <c r="Q436" i="3" s="1"/>
  <c r="Q437" i="3" s="1"/>
  <c r="Q438" i="3" s="1"/>
  <c r="Q439" i="3" s="1"/>
  <c r="Q440" i="3" s="1"/>
  <c r="Q441" i="3" s="1"/>
  <c r="Q442" i="3" s="1"/>
  <c r="Q443" i="3" s="1"/>
  <c r="Q444" i="3" s="1"/>
  <c r="Q445" i="3" s="1"/>
  <c r="Q446" i="3" s="1"/>
  <c r="Q447" i="3" s="1"/>
  <c r="Q448" i="3" s="1"/>
  <c r="Q449" i="3" s="1"/>
  <c r="Q450" i="3" s="1"/>
  <c r="Q451" i="3" s="1"/>
  <c r="Q452" i="3" s="1"/>
  <c r="Q453" i="3" s="1"/>
  <c r="Q454" i="3" s="1"/>
  <c r="Q455" i="3" s="1"/>
  <c r="Q456" i="3" s="1"/>
  <c r="Q457" i="3" s="1"/>
  <c r="Q458" i="3" s="1"/>
  <c r="Q459" i="3" s="1"/>
  <c r="Q460" i="3" s="1"/>
  <c r="Q461" i="3" s="1"/>
  <c r="Q462" i="3" s="1"/>
  <c r="Q463" i="3" s="1"/>
  <c r="Q464" i="3" s="1"/>
  <c r="Q465" i="3" s="1"/>
  <c r="Q466" i="3" s="1"/>
  <c r="Q467" i="3" s="1"/>
  <c r="Q468" i="3" s="1"/>
  <c r="Q469" i="3" s="1"/>
  <c r="Q470" i="3" s="1"/>
  <c r="Q471" i="3" s="1"/>
  <c r="Q472" i="3" s="1"/>
  <c r="Q473" i="3" s="1"/>
  <c r="Q474" i="3" s="1"/>
  <c r="Q475" i="3" s="1"/>
  <c r="Q476" i="3" s="1"/>
  <c r="Q477" i="3" s="1"/>
  <c r="Q478" i="3" s="1"/>
  <c r="Q479" i="3" s="1"/>
  <c r="Q480" i="3" s="1"/>
  <c r="Q481" i="3" s="1"/>
  <c r="Q482" i="3" s="1"/>
  <c r="Q483" i="3" s="1"/>
  <c r="Q484" i="3" s="1"/>
  <c r="Q485" i="3" s="1"/>
  <c r="Q486" i="3" s="1"/>
  <c r="Q487" i="3" s="1"/>
  <c r="Q488" i="3" s="1"/>
  <c r="Q489" i="3" s="1"/>
  <c r="Q490" i="3" s="1"/>
  <c r="Q491" i="3" s="1"/>
  <c r="Q492" i="3" s="1"/>
  <c r="Q493" i="3" s="1"/>
  <c r="Q494" i="3" s="1"/>
  <c r="Q495" i="3" s="1"/>
  <c r="Q496" i="3" s="1"/>
  <c r="Q497" i="3" s="1"/>
  <c r="Q498" i="3" s="1"/>
  <c r="Q499" i="3" s="1"/>
  <c r="Q500" i="3" s="1"/>
  <c r="R65" i="3"/>
  <c r="S65" i="3"/>
  <c r="R66" i="3"/>
  <c r="S66" i="3"/>
  <c r="R67" i="3"/>
  <c r="S67" i="3"/>
  <c r="R68" i="3"/>
  <c r="S68" i="3"/>
  <c r="R69" i="3"/>
  <c r="S69" i="3"/>
  <c r="R70" i="3"/>
  <c r="S70" i="3"/>
  <c r="R71" i="3"/>
  <c r="S71" i="3"/>
  <c r="R72" i="3"/>
  <c r="S72" i="3"/>
  <c r="R73" i="3"/>
  <c r="E35" i="4" s="1"/>
  <c r="B54" i="4" s="1"/>
  <c r="S73" i="3"/>
  <c r="R74" i="3"/>
  <c r="E33" i="4" s="1"/>
  <c r="B52" i="4" s="1"/>
  <c r="S74" i="3"/>
  <c r="R75" i="3"/>
  <c r="E36" i="4" s="1"/>
  <c r="B55" i="4" s="1"/>
  <c r="S75" i="3"/>
  <c r="R76" i="3"/>
  <c r="S76" i="3"/>
  <c r="R77" i="3"/>
  <c r="S77" i="3"/>
  <c r="R78" i="3"/>
  <c r="S78" i="3"/>
  <c r="R79" i="3"/>
  <c r="S79" i="3"/>
  <c r="R80" i="3"/>
  <c r="S80" i="3"/>
  <c r="R81" i="3"/>
  <c r="S81" i="3"/>
  <c r="R82" i="3"/>
  <c r="S82" i="3"/>
  <c r="R83" i="3"/>
  <c r="S83" i="3"/>
  <c r="R84" i="3"/>
  <c r="S84" i="3"/>
  <c r="R85" i="3"/>
  <c r="S85" i="3"/>
  <c r="R86" i="3"/>
  <c r="S86" i="3"/>
  <c r="R87" i="3"/>
  <c r="S87" i="3"/>
  <c r="R88" i="3"/>
  <c r="S88" i="3"/>
  <c r="R89" i="3"/>
  <c r="S89" i="3"/>
  <c r="R90" i="3"/>
  <c r="S90" i="3"/>
  <c r="R91" i="3"/>
  <c r="S91" i="3"/>
  <c r="R92" i="3"/>
  <c r="S92" i="3"/>
  <c r="R93" i="3"/>
  <c r="S93" i="3"/>
  <c r="R94" i="3"/>
  <c r="S94" i="3"/>
  <c r="R95" i="3"/>
  <c r="S95" i="3"/>
  <c r="R96" i="3"/>
  <c r="S96" i="3"/>
  <c r="R97" i="3"/>
  <c r="S97" i="3"/>
  <c r="R98" i="3"/>
  <c r="S98" i="3"/>
  <c r="R99" i="3"/>
  <c r="S99" i="3"/>
  <c r="R100" i="3"/>
  <c r="S100" i="3"/>
  <c r="R101" i="3"/>
  <c r="S101" i="3"/>
  <c r="R102" i="3"/>
  <c r="S102" i="3"/>
  <c r="R103" i="3"/>
  <c r="S103" i="3"/>
  <c r="R104" i="3"/>
  <c r="S104" i="3"/>
  <c r="R105" i="3"/>
  <c r="S105" i="3"/>
  <c r="R106" i="3"/>
  <c r="S106" i="3"/>
  <c r="R107" i="3"/>
  <c r="S107" i="3"/>
  <c r="R108" i="3"/>
  <c r="S108" i="3"/>
  <c r="R109" i="3"/>
  <c r="S109" i="3"/>
  <c r="R110" i="3"/>
  <c r="S110" i="3"/>
  <c r="R111" i="3"/>
  <c r="S111" i="3"/>
  <c r="R112" i="3"/>
  <c r="S112" i="3"/>
  <c r="R113" i="3"/>
  <c r="S113" i="3"/>
  <c r="R114" i="3"/>
  <c r="S114" i="3"/>
  <c r="R115" i="3"/>
  <c r="S115" i="3"/>
  <c r="R116" i="3"/>
  <c r="S116" i="3"/>
  <c r="R117" i="3"/>
  <c r="S117" i="3"/>
  <c r="R118" i="3"/>
  <c r="S118" i="3"/>
  <c r="R119" i="3"/>
  <c r="S119" i="3"/>
  <c r="R120" i="3"/>
  <c r="S120" i="3"/>
  <c r="R121" i="3"/>
  <c r="S121" i="3"/>
  <c r="R122" i="3"/>
  <c r="S122" i="3"/>
  <c r="R123" i="3"/>
  <c r="S123" i="3"/>
  <c r="R124" i="3"/>
  <c r="S124" i="3"/>
  <c r="R125" i="3"/>
  <c r="S125" i="3"/>
  <c r="R126" i="3"/>
  <c r="S126" i="3"/>
  <c r="R127" i="3"/>
  <c r="S127" i="3"/>
  <c r="R128" i="3"/>
  <c r="S128" i="3"/>
  <c r="R129" i="3"/>
  <c r="S129" i="3"/>
  <c r="R130" i="3"/>
  <c r="S130" i="3"/>
  <c r="R131" i="3"/>
  <c r="S131" i="3"/>
  <c r="R132" i="3"/>
  <c r="S132" i="3"/>
  <c r="R133" i="3"/>
  <c r="S133" i="3"/>
  <c r="R134" i="3"/>
  <c r="S134" i="3"/>
  <c r="R135" i="3"/>
  <c r="S135" i="3"/>
  <c r="R136" i="3"/>
  <c r="S136" i="3"/>
  <c r="R137" i="3"/>
  <c r="S137" i="3"/>
  <c r="R138" i="3"/>
  <c r="S138" i="3"/>
  <c r="R139" i="3"/>
  <c r="S139" i="3"/>
  <c r="R140" i="3"/>
  <c r="S140" i="3"/>
  <c r="R141" i="3"/>
  <c r="S141" i="3"/>
  <c r="R142" i="3"/>
  <c r="S142" i="3"/>
  <c r="R143" i="3"/>
  <c r="S143" i="3"/>
  <c r="R144" i="3"/>
  <c r="S144" i="3"/>
  <c r="R145" i="3"/>
  <c r="S145" i="3"/>
  <c r="R146" i="3"/>
  <c r="S146" i="3"/>
  <c r="R147" i="3"/>
  <c r="S147" i="3"/>
  <c r="R148" i="3"/>
  <c r="S148" i="3"/>
  <c r="R149" i="3"/>
  <c r="S149" i="3"/>
  <c r="R150" i="3"/>
  <c r="S150" i="3"/>
  <c r="R151" i="3"/>
  <c r="S151" i="3"/>
  <c r="R152" i="3"/>
  <c r="S152" i="3"/>
  <c r="R153" i="3"/>
  <c r="S153" i="3"/>
  <c r="R154" i="3"/>
  <c r="S154" i="3"/>
  <c r="R155" i="3"/>
  <c r="S155" i="3"/>
  <c r="R156" i="3"/>
  <c r="S156" i="3"/>
  <c r="R157" i="3"/>
  <c r="S157" i="3"/>
  <c r="R158" i="3"/>
  <c r="S158" i="3"/>
  <c r="R159" i="3"/>
  <c r="S159" i="3"/>
  <c r="R160" i="3"/>
  <c r="S160" i="3"/>
  <c r="R161" i="3"/>
  <c r="S161" i="3"/>
  <c r="R162" i="3"/>
  <c r="S162" i="3"/>
  <c r="R163" i="3"/>
  <c r="S163" i="3"/>
  <c r="R164" i="3"/>
  <c r="S164" i="3"/>
  <c r="R165" i="3"/>
  <c r="S165" i="3"/>
  <c r="R166" i="3"/>
  <c r="S166" i="3"/>
  <c r="R167" i="3"/>
  <c r="S167" i="3"/>
  <c r="R168" i="3"/>
  <c r="S168" i="3"/>
  <c r="R169" i="3"/>
  <c r="S169" i="3"/>
  <c r="R170" i="3"/>
  <c r="S170" i="3"/>
  <c r="R171" i="3"/>
  <c r="S171" i="3"/>
  <c r="R172" i="3"/>
  <c r="S172" i="3"/>
  <c r="R173" i="3"/>
  <c r="S173" i="3"/>
  <c r="R174" i="3"/>
  <c r="S174" i="3"/>
  <c r="R175" i="3"/>
  <c r="S175" i="3"/>
  <c r="R176" i="3"/>
  <c r="S176" i="3"/>
  <c r="R177" i="3"/>
  <c r="S177" i="3"/>
  <c r="R178" i="3"/>
  <c r="S178" i="3"/>
  <c r="R179" i="3"/>
  <c r="S179" i="3"/>
  <c r="R180" i="3"/>
  <c r="S180" i="3"/>
  <c r="R181" i="3"/>
  <c r="S181" i="3"/>
  <c r="R182" i="3"/>
  <c r="S182" i="3"/>
  <c r="R183" i="3"/>
  <c r="S183" i="3"/>
  <c r="R184" i="3"/>
  <c r="S184" i="3"/>
  <c r="R185" i="3"/>
  <c r="S185" i="3"/>
  <c r="R186" i="3"/>
  <c r="S186" i="3"/>
  <c r="R187" i="3"/>
  <c r="S187" i="3"/>
  <c r="R188" i="3"/>
  <c r="S188" i="3"/>
  <c r="R189" i="3"/>
  <c r="S189" i="3"/>
  <c r="R190" i="3"/>
  <c r="S190" i="3"/>
  <c r="R191" i="3"/>
  <c r="S191" i="3"/>
  <c r="R192" i="3"/>
  <c r="S192" i="3"/>
  <c r="R193" i="3"/>
  <c r="S193" i="3"/>
  <c r="R194" i="3"/>
  <c r="S194" i="3"/>
  <c r="R195" i="3"/>
  <c r="S195" i="3"/>
  <c r="R196" i="3"/>
  <c r="S196" i="3"/>
  <c r="R197" i="3"/>
  <c r="S197" i="3"/>
  <c r="R198" i="3"/>
  <c r="S198" i="3"/>
  <c r="R199" i="3"/>
  <c r="S199" i="3"/>
  <c r="R200" i="3"/>
  <c r="S200" i="3"/>
  <c r="R201" i="3"/>
  <c r="S201" i="3"/>
  <c r="R202" i="3"/>
  <c r="S202" i="3"/>
  <c r="R203" i="3"/>
  <c r="S203" i="3"/>
  <c r="R204" i="3"/>
  <c r="S204" i="3"/>
  <c r="R205" i="3"/>
  <c r="S205" i="3"/>
  <c r="R206" i="3"/>
  <c r="S206" i="3"/>
  <c r="R207" i="3"/>
  <c r="S207" i="3"/>
  <c r="R208" i="3"/>
  <c r="S208" i="3"/>
  <c r="R209" i="3"/>
  <c r="S209" i="3"/>
  <c r="R210" i="3"/>
  <c r="S210" i="3"/>
  <c r="R211" i="3"/>
  <c r="S211" i="3"/>
  <c r="R212" i="3"/>
  <c r="S212" i="3"/>
  <c r="R213" i="3"/>
  <c r="S213" i="3"/>
  <c r="R214" i="3"/>
  <c r="S214" i="3"/>
  <c r="R215" i="3"/>
  <c r="S215" i="3"/>
  <c r="R216" i="3"/>
  <c r="S216" i="3"/>
  <c r="R217" i="3"/>
  <c r="S217" i="3"/>
  <c r="R218" i="3"/>
  <c r="S218" i="3"/>
  <c r="R219" i="3"/>
  <c r="S219" i="3"/>
  <c r="R220" i="3"/>
  <c r="S220" i="3"/>
  <c r="R221" i="3"/>
  <c r="S221" i="3"/>
  <c r="R222" i="3"/>
  <c r="S222" i="3"/>
  <c r="R223" i="3"/>
  <c r="S223" i="3"/>
  <c r="R224" i="3"/>
  <c r="S224" i="3"/>
  <c r="R225" i="3"/>
  <c r="S225" i="3"/>
  <c r="R226" i="3"/>
  <c r="S226" i="3"/>
  <c r="R227" i="3"/>
  <c r="S227" i="3"/>
  <c r="R228" i="3"/>
  <c r="S228" i="3"/>
  <c r="R229" i="3"/>
  <c r="S229" i="3"/>
  <c r="R230" i="3"/>
  <c r="S230" i="3"/>
  <c r="R231" i="3"/>
  <c r="S231" i="3"/>
  <c r="R232" i="3"/>
  <c r="S232" i="3"/>
  <c r="R233" i="3"/>
  <c r="S233" i="3"/>
  <c r="R234" i="3"/>
  <c r="S234" i="3"/>
  <c r="R235" i="3"/>
  <c r="S235" i="3"/>
  <c r="R236" i="3"/>
  <c r="S236" i="3"/>
  <c r="R237" i="3"/>
  <c r="S237" i="3"/>
  <c r="R238" i="3"/>
  <c r="S238" i="3"/>
  <c r="R239" i="3"/>
  <c r="S239" i="3"/>
  <c r="R240" i="3"/>
  <c r="S240" i="3"/>
  <c r="R241" i="3"/>
  <c r="S241" i="3"/>
  <c r="R242" i="3"/>
  <c r="S242" i="3"/>
  <c r="R243" i="3"/>
  <c r="S243" i="3"/>
  <c r="R244" i="3"/>
  <c r="S244" i="3"/>
  <c r="R245" i="3"/>
  <c r="S245" i="3"/>
  <c r="R246" i="3"/>
  <c r="S246" i="3"/>
  <c r="R247" i="3"/>
  <c r="S247" i="3"/>
  <c r="R248" i="3"/>
  <c r="S248" i="3"/>
  <c r="R249" i="3"/>
  <c r="S249" i="3"/>
  <c r="R250" i="3"/>
  <c r="S250" i="3"/>
  <c r="R251" i="3"/>
  <c r="S251" i="3"/>
  <c r="R252" i="3"/>
  <c r="S252" i="3"/>
  <c r="R253" i="3"/>
  <c r="S253" i="3"/>
  <c r="R254" i="3"/>
  <c r="S254" i="3"/>
  <c r="R255" i="3"/>
  <c r="S255" i="3"/>
  <c r="R256" i="3"/>
  <c r="S256" i="3"/>
  <c r="R257" i="3"/>
  <c r="S257" i="3"/>
  <c r="R258" i="3"/>
  <c r="S258" i="3"/>
  <c r="R259" i="3"/>
  <c r="S259" i="3"/>
  <c r="R260" i="3"/>
  <c r="S260" i="3"/>
  <c r="R261" i="3"/>
  <c r="S261" i="3"/>
  <c r="R262" i="3"/>
  <c r="S262" i="3"/>
  <c r="R263" i="3"/>
  <c r="S263" i="3"/>
  <c r="R264" i="3"/>
  <c r="S264" i="3"/>
  <c r="R265" i="3"/>
  <c r="S265" i="3"/>
  <c r="R266" i="3"/>
  <c r="S266" i="3"/>
  <c r="R267" i="3"/>
  <c r="S267" i="3"/>
  <c r="R268" i="3"/>
  <c r="S268" i="3"/>
  <c r="R269" i="3"/>
  <c r="S269" i="3"/>
  <c r="R270" i="3"/>
  <c r="S270" i="3"/>
  <c r="R271" i="3"/>
  <c r="S271" i="3"/>
  <c r="R272" i="3"/>
  <c r="S272" i="3"/>
  <c r="R273" i="3"/>
  <c r="S273" i="3"/>
  <c r="R274" i="3"/>
  <c r="S274" i="3"/>
  <c r="R275" i="3"/>
  <c r="S275" i="3"/>
  <c r="R276" i="3"/>
  <c r="S276" i="3"/>
  <c r="R277" i="3"/>
  <c r="S277" i="3"/>
  <c r="R278" i="3"/>
  <c r="S278" i="3"/>
  <c r="R279" i="3"/>
  <c r="S279" i="3"/>
  <c r="R280" i="3"/>
  <c r="S280" i="3"/>
  <c r="R281" i="3"/>
  <c r="S281" i="3"/>
  <c r="R282" i="3"/>
  <c r="S282" i="3"/>
  <c r="R283" i="3"/>
  <c r="S283" i="3"/>
  <c r="R284" i="3"/>
  <c r="S284" i="3"/>
  <c r="R285" i="3"/>
  <c r="S285" i="3"/>
  <c r="R286" i="3"/>
  <c r="S286" i="3"/>
  <c r="R287" i="3"/>
  <c r="S287" i="3"/>
  <c r="R288" i="3"/>
  <c r="S288" i="3"/>
  <c r="R289" i="3"/>
  <c r="S289" i="3"/>
  <c r="R290" i="3"/>
  <c r="S290" i="3"/>
  <c r="R291" i="3"/>
  <c r="S291" i="3"/>
  <c r="R292" i="3"/>
  <c r="S292" i="3"/>
  <c r="R293" i="3"/>
  <c r="S293" i="3"/>
  <c r="R294" i="3"/>
  <c r="S294" i="3"/>
  <c r="R295" i="3"/>
  <c r="S295" i="3"/>
  <c r="R296" i="3"/>
  <c r="S296" i="3"/>
  <c r="R297" i="3"/>
  <c r="S297" i="3"/>
  <c r="R298" i="3"/>
  <c r="S298" i="3"/>
  <c r="R299" i="3"/>
  <c r="S299" i="3"/>
  <c r="R300" i="3"/>
  <c r="S300" i="3"/>
  <c r="R301" i="3"/>
  <c r="S301" i="3"/>
  <c r="R302" i="3"/>
  <c r="S302" i="3"/>
  <c r="R303" i="3"/>
  <c r="S303" i="3"/>
  <c r="R304" i="3"/>
  <c r="S304" i="3"/>
  <c r="R305" i="3"/>
  <c r="S305" i="3"/>
  <c r="R306" i="3"/>
  <c r="S306" i="3"/>
  <c r="R307" i="3"/>
  <c r="S307" i="3"/>
  <c r="R308" i="3"/>
  <c r="S308" i="3"/>
  <c r="R309" i="3"/>
  <c r="S309" i="3"/>
  <c r="R310" i="3"/>
  <c r="S310" i="3"/>
  <c r="R311" i="3"/>
  <c r="S311" i="3"/>
  <c r="R312" i="3"/>
  <c r="S312" i="3"/>
  <c r="R313" i="3"/>
  <c r="S313" i="3"/>
  <c r="R314" i="3"/>
  <c r="S314" i="3"/>
  <c r="R315" i="3"/>
  <c r="S315" i="3"/>
  <c r="R316" i="3"/>
  <c r="S316" i="3"/>
  <c r="R317" i="3"/>
  <c r="S317" i="3"/>
  <c r="R318" i="3"/>
  <c r="S318" i="3"/>
  <c r="R319" i="3"/>
  <c r="S319" i="3"/>
  <c r="R320" i="3"/>
  <c r="S320" i="3"/>
  <c r="R321" i="3"/>
  <c r="S321" i="3"/>
  <c r="R322" i="3"/>
  <c r="S322" i="3"/>
  <c r="R323" i="3"/>
  <c r="S323" i="3"/>
  <c r="R324" i="3"/>
  <c r="S324" i="3"/>
  <c r="R325" i="3"/>
  <c r="S325" i="3"/>
  <c r="R326" i="3"/>
  <c r="S326" i="3"/>
  <c r="R327" i="3"/>
  <c r="S327" i="3"/>
  <c r="R328" i="3"/>
  <c r="S328" i="3"/>
  <c r="R329" i="3"/>
  <c r="S329" i="3"/>
  <c r="R330" i="3"/>
  <c r="S330" i="3"/>
  <c r="R331" i="3"/>
  <c r="S331" i="3"/>
  <c r="R332" i="3"/>
  <c r="S332" i="3"/>
  <c r="R333" i="3"/>
  <c r="S333" i="3"/>
  <c r="R334" i="3"/>
  <c r="S334" i="3"/>
  <c r="R335" i="3"/>
  <c r="S335" i="3"/>
  <c r="R336" i="3"/>
  <c r="S336" i="3"/>
  <c r="R337" i="3"/>
  <c r="S337" i="3"/>
  <c r="R338" i="3"/>
  <c r="S338" i="3"/>
  <c r="R339" i="3"/>
  <c r="S339" i="3"/>
  <c r="R340" i="3"/>
  <c r="S340" i="3"/>
  <c r="R341" i="3"/>
  <c r="S341" i="3"/>
  <c r="R342" i="3"/>
  <c r="S342" i="3"/>
  <c r="R343" i="3"/>
  <c r="S343" i="3"/>
  <c r="R344" i="3"/>
  <c r="S344" i="3"/>
  <c r="R345" i="3"/>
  <c r="S345" i="3"/>
  <c r="R346" i="3"/>
  <c r="S346" i="3"/>
  <c r="R347" i="3"/>
  <c r="S347" i="3"/>
  <c r="R348" i="3"/>
  <c r="S348" i="3"/>
  <c r="R349" i="3"/>
  <c r="S349" i="3"/>
  <c r="R350" i="3"/>
  <c r="S350" i="3"/>
  <c r="R351" i="3"/>
  <c r="S351" i="3"/>
  <c r="R352" i="3"/>
  <c r="S352" i="3"/>
  <c r="R353" i="3"/>
  <c r="S353" i="3"/>
  <c r="R354" i="3"/>
  <c r="S354" i="3"/>
  <c r="R355" i="3"/>
  <c r="S355" i="3"/>
  <c r="R356" i="3"/>
  <c r="S356" i="3"/>
  <c r="R357" i="3"/>
  <c r="S357" i="3"/>
  <c r="R358" i="3"/>
  <c r="S358" i="3"/>
  <c r="R359" i="3"/>
  <c r="S359" i="3"/>
  <c r="R360" i="3"/>
  <c r="S360" i="3"/>
  <c r="R361" i="3"/>
  <c r="S361" i="3"/>
  <c r="R362" i="3"/>
  <c r="S362" i="3"/>
  <c r="R363" i="3"/>
  <c r="S363" i="3"/>
  <c r="R364" i="3"/>
  <c r="S364" i="3"/>
  <c r="R365" i="3"/>
  <c r="S365" i="3"/>
  <c r="R366" i="3"/>
  <c r="S366" i="3"/>
  <c r="R367" i="3"/>
  <c r="S367" i="3"/>
  <c r="R368" i="3"/>
  <c r="S368" i="3"/>
  <c r="R369" i="3"/>
  <c r="S369" i="3"/>
  <c r="R370" i="3"/>
  <c r="S370" i="3"/>
  <c r="R371" i="3"/>
  <c r="S371" i="3"/>
  <c r="R372" i="3"/>
  <c r="S372" i="3"/>
  <c r="R373" i="3"/>
  <c r="S373" i="3"/>
  <c r="R374" i="3"/>
  <c r="S374" i="3"/>
  <c r="R375" i="3"/>
  <c r="S375" i="3"/>
  <c r="R376" i="3"/>
  <c r="S376" i="3"/>
  <c r="R377" i="3"/>
  <c r="S377" i="3"/>
  <c r="R378" i="3"/>
  <c r="S378" i="3"/>
  <c r="R379" i="3"/>
  <c r="S379" i="3"/>
  <c r="R380" i="3"/>
  <c r="S380" i="3"/>
  <c r="R381" i="3"/>
  <c r="S381" i="3"/>
  <c r="R382" i="3"/>
  <c r="S382" i="3"/>
  <c r="R383" i="3"/>
  <c r="S383" i="3"/>
  <c r="R384" i="3"/>
  <c r="S384" i="3"/>
  <c r="R385" i="3"/>
  <c r="S385" i="3"/>
  <c r="R386" i="3"/>
  <c r="S386" i="3"/>
  <c r="R387" i="3"/>
  <c r="S387" i="3"/>
  <c r="R388" i="3"/>
  <c r="S388" i="3"/>
  <c r="R389" i="3"/>
  <c r="S389" i="3"/>
  <c r="R390" i="3"/>
  <c r="S390" i="3"/>
  <c r="R391" i="3"/>
  <c r="S391" i="3"/>
  <c r="R392" i="3"/>
  <c r="S392" i="3"/>
  <c r="R393" i="3"/>
  <c r="S393" i="3"/>
  <c r="R394" i="3"/>
  <c r="S394" i="3"/>
  <c r="R395" i="3"/>
  <c r="S395" i="3"/>
  <c r="R396" i="3"/>
  <c r="S396" i="3"/>
  <c r="R397" i="3"/>
  <c r="S397" i="3"/>
  <c r="R398" i="3"/>
  <c r="S398" i="3"/>
  <c r="R399" i="3"/>
  <c r="S399" i="3"/>
  <c r="R400" i="3"/>
  <c r="S400" i="3"/>
  <c r="R401" i="3"/>
  <c r="S401" i="3"/>
  <c r="R402" i="3"/>
  <c r="S402" i="3"/>
  <c r="R403" i="3"/>
  <c r="S403" i="3"/>
  <c r="R404" i="3"/>
  <c r="S404" i="3"/>
  <c r="R405" i="3"/>
  <c r="S405" i="3"/>
  <c r="R406" i="3"/>
  <c r="S406" i="3"/>
  <c r="R407" i="3"/>
  <c r="S407" i="3"/>
  <c r="R408" i="3"/>
  <c r="S408" i="3"/>
  <c r="R409" i="3"/>
  <c r="S409" i="3"/>
  <c r="R410" i="3"/>
  <c r="S410" i="3"/>
  <c r="R411" i="3"/>
  <c r="S411" i="3"/>
  <c r="R412" i="3"/>
  <c r="S412" i="3"/>
  <c r="R413" i="3"/>
  <c r="S413" i="3"/>
  <c r="R414" i="3"/>
  <c r="S414" i="3"/>
  <c r="R415" i="3"/>
  <c r="S415" i="3"/>
  <c r="R416" i="3"/>
  <c r="S416" i="3"/>
  <c r="R417" i="3"/>
  <c r="S417" i="3"/>
  <c r="R418" i="3"/>
  <c r="S418" i="3"/>
  <c r="R419" i="3"/>
  <c r="S419" i="3"/>
  <c r="R420" i="3"/>
  <c r="S420" i="3"/>
  <c r="R421" i="3"/>
  <c r="S421" i="3"/>
  <c r="R422" i="3"/>
  <c r="S422" i="3"/>
  <c r="R423" i="3"/>
  <c r="S423" i="3"/>
  <c r="R424" i="3"/>
  <c r="S424" i="3"/>
  <c r="R425" i="3"/>
  <c r="S425" i="3"/>
  <c r="R426" i="3"/>
  <c r="S426" i="3"/>
  <c r="R427" i="3"/>
  <c r="S427" i="3"/>
  <c r="R428" i="3"/>
  <c r="S428" i="3"/>
  <c r="R429" i="3"/>
  <c r="S429" i="3"/>
  <c r="R430" i="3"/>
  <c r="S430" i="3"/>
  <c r="R431" i="3"/>
  <c r="S431" i="3"/>
  <c r="R432" i="3"/>
  <c r="S432" i="3"/>
  <c r="R433" i="3"/>
  <c r="S433" i="3"/>
  <c r="R434" i="3"/>
  <c r="S434" i="3"/>
  <c r="R435" i="3"/>
  <c r="S435" i="3"/>
  <c r="R436" i="3"/>
  <c r="S436" i="3"/>
  <c r="R437" i="3"/>
  <c r="S437" i="3"/>
  <c r="R438" i="3"/>
  <c r="S438" i="3"/>
  <c r="R439" i="3"/>
  <c r="S439" i="3"/>
  <c r="R440" i="3"/>
  <c r="S440" i="3"/>
  <c r="R441" i="3"/>
  <c r="S441" i="3"/>
  <c r="R442" i="3"/>
  <c r="S442" i="3"/>
  <c r="R443" i="3"/>
  <c r="S443" i="3"/>
  <c r="R444" i="3"/>
  <c r="S444" i="3"/>
  <c r="R445" i="3"/>
  <c r="S445" i="3"/>
  <c r="R446" i="3"/>
  <c r="S446" i="3"/>
  <c r="R447" i="3"/>
  <c r="S447" i="3"/>
  <c r="R448" i="3"/>
  <c r="S448" i="3"/>
  <c r="R449" i="3"/>
  <c r="S449" i="3"/>
  <c r="R450" i="3"/>
  <c r="S450" i="3"/>
  <c r="R451" i="3"/>
  <c r="S451" i="3"/>
  <c r="R452" i="3"/>
  <c r="S452" i="3"/>
  <c r="R453" i="3"/>
  <c r="S453" i="3"/>
  <c r="R454" i="3"/>
  <c r="S454" i="3"/>
  <c r="R455" i="3"/>
  <c r="S455" i="3"/>
  <c r="R456" i="3"/>
  <c r="S456" i="3"/>
  <c r="R457" i="3"/>
  <c r="S457" i="3"/>
  <c r="R458" i="3"/>
  <c r="S458" i="3"/>
  <c r="R459" i="3"/>
  <c r="S459" i="3"/>
  <c r="R460" i="3"/>
  <c r="S460" i="3"/>
  <c r="R461" i="3"/>
  <c r="S461" i="3"/>
  <c r="R462" i="3"/>
  <c r="S462" i="3"/>
  <c r="R463" i="3"/>
  <c r="S463" i="3"/>
  <c r="R464" i="3"/>
  <c r="S464" i="3"/>
  <c r="R465" i="3"/>
  <c r="S465" i="3"/>
  <c r="R466" i="3"/>
  <c r="S466" i="3"/>
  <c r="R467" i="3"/>
  <c r="S467" i="3"/>
  <c r="R468" i="3"/>
  <c r="S468" i="3"/>
  <c r="R469" i="3"/>
  <c r="S469" i="3"/>
  <c r="R470" i="3"/>
  <c r="S470" i="3"/>
  <c r="R471" i="3"/>
  <c r="S471" i="3"/>
  <c r="R472" i="3"/>
  <c r="S472" i="3"/>
  <c r="R473" i="3"/>
  <c r="S473" i="3"/>
  <c r="R474" i="3"/>
  <c r="S474" i="3"/>
  <c r="R475" i="3"/>
  <c r="S475" i="3"/>
  <c r="R476" i="3"/>
  <c r="S476" i="3"/>
  <c r="R477" i="3"/>
  <c r="S477" i="3"/>
  <c r="R478" i="3"/>
  <c r="S478" i="3"/>
  <c r="R479" i="3"/>
  <c r="S479" i="3"/>
  <c r="R480" i="3"/>
  <c r="S480" i="3"/>
  <c r="R481" i="3"/>
  <c r="S481" i="3"/>
  <c r="R482" i="3"/>
  <c r="S482" i="3"/>
  <c r="R483" i="3"/>
  <c r="S483" i="3"/>
  <c r="R484" i="3"/>
  <c r="S484" i="3"/>
  <c r="R485" i="3"/>
  <c r="S485" i="3"/>
  <c r="R486" i="3"/>
  <c r="S486" i="3"/>
  <c r="R487" i="3"/>
  <c r="S487" i="3"/>
  <c r="R488" i="3"/>
  <c r="S488" i="3"/>
  <c r="R489" i="3"/>
  <c r="S489" i="3"/>
  <c r="R490" i="3"/>
  <c r="S490" i="3"/>
  <c r="R491" i="3"/>
  <c r="S491" i="3"/>
  <c r="R492" i="3"/>
  <c r="S492" i="3"/>
  <c r="R493" i="3"/>
  <c r="S493" i="3"/>
  <c r="R494" i="3"/>
  <c r="S494" i="3"/>
  <c r="R495" i="3"/>
  <c r="S495" i="3"/>
  <c r="R496" i="3"/>
  <c r="S496" i="3"/>
  <c r="R497" i="3"/>
  <c r="S497" i="3"/>
  <c r="R498" i="3"/>
  <c r="S498" i="3"/>
  <c r="R499" i="3"/>
  <c r="S499" i="3"/>
  <c r="R500" i="3"/>
  <c r="S500" i="3"/>
  <c r="S3" i="3"/>
  <c r="R3" i="3"/>
  <c r="Q3" i="3"/>
  <c r="Q4" i="3" s="1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D36" i="4"/>
  <c r="D35" i="4"/>
  <c r="D34" i="4"/>
  <c r="D33" i="4"/>
  <c r="C36" i="4"/>
  <c r="C35" i="4"/>
  <c r="C34" i="4"/>
  <c r="C33" i="4"/>
  <c r="B36" i="4"/>
  <c r="B35" i="4"/>
  <c r="B34" i="4"/>
  <c r="B33" i="4"/>
  <c r="C28" i="4"/>
  <c r="B28" i="4"/>
  <c r="C27" i="4"/>
  <c r="B27" i="4"/>
  <c r="C26" i="4"/>
  <c r="B26" i="4"/>
  <c r="C25" i="4"/>
  <c r="B25" i="4"/>
  <c r="C24" i="4"/>
  <c r="B24" i="4"/>
  <c r="C23" i="4"/>
  <c r="E23" i="4" s="1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D46" i="4"/>
  <c r="D44" i="4"/>
  <c r="D42" i="4"/>
  <c r="C46" i="4"/>
  <c r="C44" i="4"/>
  <c r="C42" i="4"/>
  <c r="B46" i="4"/>
  <c r="B44" i="4"/>
  <c r="B42" i="4"/>
  <c r="D6" i="4"/>
  <c r="C6" i="4"/>
  <c r="B6" i="4"/>
  <c r="P65" i="3"/>
  <c r="P52" i="3"/>
  <c r="P42" i="3"/>
  <c r="P32" i="3"/>
  <c r="P21" i="3"/>
  <c r="P16" i="3"/>
  <c r="P3" i="3"/>
  <c r="B65" i="3"/>
  <c r="B52" i="3"/>
  <c r="B42" i="3"/>
  <c r="B32" i="3"/>
  <c r="B21" i="3"/>
  <c r="B16" i="3"/>
  <c r="B3" i="3"/>
  <c r="O71" i="3"/>
  <c r="N71" i="3"/>
  <c r="O70" i="3"/>
  <c r="N70" i="3"/>
  <c r="O69" i="3"/>
  <c r="N69" i="3"/>
  <c r="O68" i="3"/>
  <c r="N68" i="3"/>
  <c r="O67" i="3"/>
  <c r="N67" i="3"/>
  <c r="O66" i="3"/>
  <c r="N66" i="3"/>
  <c r="O65" i="3"/>
  <c r="N65" i="3"/>
  <c r="O64" i="3"/>
  <c r="N64" i="3"/>
  <c r="O63" i="3"/>
  <c r="N63" i="3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A55" i="4"/>
  <c r="A54" i="4"/>
  <c r="A53" i="4"/>
  <c r="A52" i="4"/>
  <c r="O106" i="2"/>
  <c r="B99" i="2"/>
  <c r="O99" i="2"/>
  <c r="B94" i="2"/>
  <c r="O94" i="2"/>
  <c r="B84" i="2"/>
  <c r="O84" i="2"/>
  <c r="B78" i="2"/>
  <c r="O78" i="2"/>
  <c r="B71" i="2"/>
  <c r="O71" i="2"/>
  <c r="B62" i="2"/>
  <c r="O62" i="2"/>
  <c r="B53" i="2"/>
  <c r="O53" i="2"/>
  <c r="B43" i="2"/>
  <c r="O43" i="2"/>
  <c r="B33" i="2"/>
  <c r="O33" i="2"/>
  <c r="B21" i="2"/>
  <c r="O21" i="2"/>
  <c r="B12" i="2"/>
  <c r="O12" i="2"/>
  <c r="B3" i="2"/>
  <c r="O3" i="2"/>
  <c r="O104" i="1"/>
  <c r="B97" i="1"/>
  <c r="O97" i="1"/>
  <c r="B88" i="1"/>
  <c r="O88" i="1"/>
  <c r="B78" i="1"/>
  <c r="O78" i="1"/>
  <c r="B70" i="1"/>
  <c r="O70" i="1"/>
  <c r="B62" i="1"/>
  <c r="O62" i="1"/>
  <c r="B53" i="1"/>
  <c r="O53" i="1"/>
  <c r="B43" i="1"/>
  <c r="O43" i="1"/>
  <c r="B34" i="1"/>
  <c r="O34" i="1"/>
  <c r="B25" i="1"/>
  <c r="O25" i="1"/>
  <c r="B17" i="1"/>
  <c r="O17" i="1"/>
  <c r="B12" i="1"/>
  <c r="O12" i="1"/>
  <c r="B3" i="1"/>
  <c r="O3" i="1"/>
  <c r="E22" i="4" l="1"/>
  <c r="E26" i="4"/>
  <c r="E20" i="4"/>
  <c r="E21" i="4"/>
  <c r="E19" i="4"/>
  <c r="E27" i="4"/>
  <c r="E28" i="4"/>
  <c r="E25" i="4"/>
  <c r="E24" i="4"/>
  <c r="E18" i="4"/>
  <c r="N123" i="3"/>
  <c r="O123" i="3"/>
  <c r="D10" i="4"/>
  <c r="D8" i="4"/>
  <c r="D12" i="4" s="1"/>
  <c r="D7" i="4"/>
  <c r="P72" i="3"/>
  <c r="P123" i="3" s="1"/>
  <c r="E34" i="4"/>
  <c r="B53" i="4" s="1"/>
  <c r="D18" i="4"/>
  <c r="F18" i="4" s="1"/>
  <c r="D19" i="4"/>
  <c r="F19" i="4" s="1"/>
  <c r="D20" i="4"/>
  <c r="F20" i="4" s="1"/>
  <c r="D21" i="4"/>
  <c r="F21" i="4" s="1"/>
  <c r="D22" i="4"/>
  <c r="F22" i="4" s="1"/>
  <c r="D23" i="4"/>
  <c r="F23" i="4" s="1"/>
  <c r="D24" i="4"/>
  <c r="F24" i="4" s="1"/>
  <c r="D25" i="4"/>
  <c r="F25" i="4" s="1"/>
  <c r="D26" i="4"/>
  <c r="F26" i="4" s="1"/>
  <c r="D27" i="4"/>
  <c r="F27" i="4" s="1"/>
  <c r="D17" i="4"/>
  <c r="F17" i="4" s="1"/>
  <c r="D28" i="4"/>
  <c r="F28" i="4" s="1"/>
  <c r="C37" i="4"/>
  <c r="B37" i="4"/>
  <c r="B29" i="4"/>
  <c r="C29" i="4"/>
  <c r="E17" i="4"/>
  <c r="C48" i="4"/>
  <c r="C11" i="4"/>
  <c r="B48" i="4"/>
  <c r="E10" i="4"/>
  <c r="E8" i="4"/>
  <c r="C9" i="4"/>
  <c r="E7" i="4"/>
  <c r="E6" i="4"/>
  <c r="B9" i="4"/>
  <c r="D37" i="4"/>
  <c r="E29" i="4" l="1"/>
  <c r="D11" i="4"/>
  <c r="E37" i="4"/>
  <c r="F36" i="4" s="1"/>
  <c r="E12" i="4"/>
  <c r="B11" i="4"/>
  <c r="E11" i="4" s="1"/>
  <c r="E9" i="4"/>
  <c r="N103" i="1"/>
  <c r="F35" i="4" l="1"/>
  <c r="F34" i="4"/>
  <c r="F37" i="4"/>
  <c r="F33" i="4"/>
  <c r="N106" i="2"/>
  <c r="M106" i="2"/>
  <c r="L106" i="2"/>
  <c r="K106" i="2"/>
  <c r="J106" i="2"/>
  <c r="I106" i="2"/>
  <c r="H106" i="2"/>
  <c r="G106" i="2"/>
  <c r="B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N104" i="1"/>
  <c r="M104" i="1"/>
  <c r="L104" i="1"/>
  <c r="K104" i="1"/>
  <c r="J104" i="1"/>
  <c r="I104" i="1"/>
  <c r="H104" i="1"/>
  <c r="G104" i="1"/>
  <c r="B104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D9" i="4" l="1"/>
  <c r="D48" i="4" l="1"/>
  <c r="D29" i="4" l="1"/>
</calcChain>
</file>

<file path=xl/sharedStrings.xml><?xml version="1.0" encoding="utf-8"?>
<sst xmlns="http://schemas.openxmlformats.org/spreadsheetml/2006/main" count="688" uniqueCount="123">
  <si>
    <t>NO</t>
  </si>
  <si>
    <t>MAERSK ROUBAX</t>
  </si>
  <si>
    <t>MAE</t>
  </si>
  <si>
    <t>AS FREYA</t>
  </si>
  <si>
    <t>MSC NINA F</t>
  </si>
  <si>
    <t>MSC</t>
  </si>
  <si>
    <t>AS FABIANA</t>
  </si>
  <si>
    <t>MSC ADA F</t>
  </si>
  <si>
    <t>EM HYDRA</t>
  </si>
  <si>
    <t>CMA</t>
  </si>
  <si>
    <t>VICTORIAL L</t>
  </si>
  <si>
    <t>BF CARODA</t>
  </si>
  <si>
    <t>CONTSHIP LEX</t>
  </si>
  <si>
    <t>OBT</t>
  </si>
  <si>
    <t>AURETTE A</t>
  </si>
  <si>
    <t>CC NOUADHIBOU</t>
  </si>
  <si>
    <t>SALGUEIRO</t>
  </si>
  <si>
    <t>MAERSK ROUBAIX</t>
  </si>
  <si>
    <t>CALYPSO</t>
  </si>
  <si>
    <t>MSC SAGITTARIUS F</t>
  </si>
  <si>
    <t>CONTSHIP ONO</t>
  </si>
  <si>
    <t>MARTI SPIRIT</t>
  </si>
  <si>
    <t>MATADI EXPRESS</t>
  </si>
  <si>
    <t>BF ESPERANZA</t>
  </si>
  <si>
    <t>MSC WAVE F</t>
  </si>
  <si>
    <t>JONATHAN P</t>
  </si>
  <si>
    <t>MEDKON FUN</t>
  </si>
  <si>
    <t>CC PLATON</t>
  </si>
  <si>
    <t>VICTORIA L</t>
  </si>
  <si>
    <t>OKEE CUNO</t>
  </si>
  <si>
    <t>OEL INDIA</t>
  </si>
  <si>
    <t>SAN VICENTE EXPRESS</t>
  </si>
  <si>
    <t>MSC LUNA F</t>
  </si>
  <si>
    <t>MSC SUN F</t>
  </si>
  <si>
    <t>FRANZISKA</t>
  </si>
  <si>
    <t>DIANE A</t>
  </si>
  <si>
    <t>MSC SAGITTARIUS</t>
  </si>
  <si>
    <t>GEESKE</t>
  </si>
  <si>
    <t>HANSA RATZEBURG</t>
  </si>
  <si>
    <t>COROS</t>
  </si>
  <si>
    <t>OBL</t>
  </si>
  <si>
    <t>AS FRANZISKA</t>
  </si>
  <si>
    <t>LION</t>
  </si>
  <si>
    <t>DOUALA EXPRESS</t>
  </si>
  <si>
    <t>MSC PANAYA</t>
  </si>
  <si>
    <t>CC HOMERE</t>
  </si>
  <si>
    <t>ALEXANDER MAERSK</t>
  </si>
  <si>
    <t>CONTSHIP MED</t>
  </si>
  <si>
    <t>MSC TIANA</t>
  </si>
  <si>
    <t>CONTSHEP BEE</t>
  </si>
  <si>
    <t>BF LETİCİA</t>
  </si>
  <si>
    <t>VERA D</t>
  </si>
  <si>
    <t>MATILDE A</t>
  </si>
  <si>
    <t>GINA</t>
  </si>
  <si>
    <t>CONTSHIP NEW</t>
  </si>
  <si>
    <t>MAERSK REGENSBURG</t>
  </si>
  <si>
    <t>MAERSK VALPARAISO</t>
  </si>
  <si>
    <t>EF ELDRA</t>
  </si>
  <si>
    <t>MAERSK DURBAN</t>
  </si>
  <si>
    <t>MSC TIANA F</t>
  </si>
  <si>
    <t>HORIZON</t>
  </si>
  <si>
    <t>MSC AMANDA F</t>
  </si>
  <si>
    <t>CONTSHIP GIN</t>
  </si>
  <si>
    <t>BF LETICIA</t>
  </si>
  <si>
    <t>Δ 25 / 24</t>
  </si>
  <si>
    <t>Δ 26 / 25</t>
  </si>
  <si>
    <t>TEU 2026</t>
  </si>
  <si>
    <t>CONTAINER TERMINAL DASHBOARD</t>
  </si>
  <si>
    <t>Vessel calls and volume summary · 2024 – 2026</t>
  </si>
  <si>
    <t>KEY PERFORMANCE INDICATORS</t>
  </si>
  <si>
    <t>METRIC</t>
  </si>
  <si>
    <t>2026 (YTD)</t>
  </si>
  <si>
    <t>Vessel calls (voyages)</t>
  </si>
  <si>
    <t>Total TEU</t>
  </si>
  <si>
    <t>Total containers</t>
  </si>
  <si>
    <t>Avg. TEU per call</t>
  </si>
  <si>
    <t>Containers discharged</t>
  </si>
  <si>
    <t>Containers loaded (FCL + empty)</t>
  </si>
  <si>
    <t>Share of 40' containers</t>
  </si>
  <si>
    <t>MONTHLY TEU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</si>
  <si>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</si>
  <si>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</si>
  <si>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</si>
  <si>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</si>
  <si>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</si>
  <si>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</si>
  <si>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</si>
  <si>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</si>
  <si>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</si>
  <si>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</si>
  <si>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</si>
  <si>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</si>
  <si>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</si>
  <si>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</si>
  <si>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AGENT PERFORMANCE</t>
  </si>
  <si>
    <t>AGENT</t>
  </si>
  <si>
    <t>Calls 2024</t>
  </si>
  <si>
    <t>Calls 2025</t>
  </si>
  <si>
    <t>Calls 2026</t>
  </si>
  <si>
    <t>Share 2026</t>
  </si>
  <si>
    <t>CONTAINER BREAKDOWN (TEU)</t>
  </si>
  <si>
    <t>CATEGORY</t>
  </si>
  <si>
    <t>Discharge 20'</t>
  </si>
  <si>
    <t>Discharge 40'</t>
  </si>
  <si>
    <t>FCL loading 20'</t>
  </si>
  <si>
    <t>FCL loading 40'</t>
  </si>
  <si>
    <t>Empty loading 20'</t>
  </si>
  <si>
    <t>Empty loading 40'</t>
  </si>
  <si>
    <t>TEU = twenty-foot equivalent unit; 40' containers count as 2 TEU. All values are linked live to the 2024 / 2025 / 2026 sheets and update automatically when you add new rows.</t>
  </si>
  <si>
    <t>Chart source – 2026 TEU by agent</t>
  </si>
  <si>
    <t>VESSEL NAME</t>
  </si>
  <si>
    <t>BERTHING</t>
  </si>
  <si>
    <t>DEPARTURE</t>
  </si>
  <si>
    <t>DISCHARGE</t>
  </si>
  <si>
    <t>FCL LOADING</t>
  </si>
  <si>
    <t>EMPTY LOADING</t>
  </si>
  <si>
    <t>HATCH COVER</t>
  </si>
  <si>
    <t>TOTAL TEU</t>
  </si>
  <si>
    <t>TOTAL CONTAINERS</t>
  </si>
  <si>
    <t>MONTH (auto)</t>
  </si>
  <si>
    <t>TEU (auto)</t>
  </si>
  <si>
    <t>CONTAINER (auto)</t>
  </si>
  <si>
    <t>TOTAL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</si>
</sst>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dd/mm/yyyy"/>
    <numFmt numFmtId="165" formatCode="#,##0.0"/>
    <numFmt numFmtId="166" formatCode="0.0%"/>
    <numFmt numFmtId="167" formatCode="\+0.0%;\-0.0%;0.0%"/>
    <numFmt numFmtId="168" formatCode="#,##0;\-#,##0;&quot;–&quot;"/>
    <numFmt numFmtId="169" formatCode="#,##0;\-#,##0;"/>
    <numFmt numFmtId="170" formatCode="0;0;"/>
  </numFmts>
  <fonts count="2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color rgb="FF000000"/>
      <name val="Calibri"/>
      <scheme val="minor"/>
    </font>
    <font>
      <b/>
      <sz val="9"/>
      <color rgb="FFFFFFFF"/>
      <name val="Calibri"/>
      <scheme val="minor"/>
    </font>
    <font>
      <b/>
      <sz val="9"/>
      <color rgb="FF000000"/>
      <name val="Calibri"/>
      <scheme val="minor"/>
    </font>
    <font>
      <b/>
      <sz val="9"/>
      <color rgb="FF1F497D"/>
      <name val="Calibri"/>
      <scheme val="minor"/>
    </font>
    <font>
      <b/>
      <sz val="11"/>
      <color rgb="FF1F497D"/>
      <name val="Calibri"/>
      <scheme val="minor"/>
    </font>
    <font>
      <b/>
      <sz val="10"/>
      <color theme="1"/>
      <name val="Calibri"/>
      <scheme val="minor"/>
    </font>
    <font>
      <b/>
      <sz val="10"/>
      <color rgb="FFFFFFFF"/>
      <name val="Calibri"/>
      <scheme val="minor"/>
    </font>
    <font>
      <sz val="10"/>
      <color theme="1"/>
      <name val="Calibri"/>
      <scheme val="minor"/>
    </font>
    <font>
      <b/>
      <sz val="16"/>
      <color rgb="FFFFFFFF"/>
      <name val="Calibri"/>
      <scheme val="minor"/>
    </font>
    <font>
      <i/>
      <sz val="10"/>
      <color rgb="FF595959"/>
      <name val="Calibri"/>
      <scheme val="minor"/>
    </font>
    <font>
      <i/>
      <sz val="9"/>
      <color rgb="FF808080"/>
      <name val="Calibri"/>
      <family val="2"/>
      <scheme val="minor"/>
    </font>
    <font>
      <sz val="9"/>
      <color rgb="FF808080"/>
      <name val="Calibri"/>
      <family val="2"/>
      <scheme val="minor"/>
    </font>
    <font>
      <i/>
      <sz val="9"/>
      <color rgb="FF808080"/>
      <name val="Calibri"/>
      <scheme val="minor"/>
    </font>
    <font>
      <b/>
      <sz val="8"/>
      <color rgb="FFFFFFFF"/>
      <name val="Calibri"/>
      <family val="2"/>
    </font>
    <font>
      <b/>
      <sz val="8"/>
      <color rgb="FFFFFFFF"/>
      <name val="Calibri"/>
      <family val="2"/>
      <scheme val="minor"/>
    </font>
    <font>
      <sz val="8"/>
      <color rgb="FF80808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1F497D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1F497D"/>
      </patternFill>
    </fill>
    <fill>
      <patternFill patternType="solid">
        <fgColor rgb="FF808080"/>
        <bgColor indexed="64"/>
      </patternFill>
    </fill>
  </fills>
  <borders count="4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1F497D"/>
      </bottom>
      <diagonal/>
    </border>
    <border>
      <left style="thin">
        <color rgb="FFA6A6A6"/>
      </left>
      <right style="thin">
        <color rgb="FFA6A6A6"/>
      </right>
      <top style="medium">
        <color rgb="FF1F497D"/>
      </top>
      <bottom style="medium">
        <color rgb="FF1F497D"/>
      </bottom>
      <diagonal/>
    </border>
    <border>
      <left style="medium">
        <color rgb="FF1F497D"/>
      </left>
      <right style="thin">
        <color rgb="FFA6A6A6"/>
      </right>
      <top style="medium">
        <color rgb="FF1F497D"/>
      </top>
      <bottom style="medium">
        <color rgb="FF1F497D"/>
      </bottom>
      <diagonal/>
    </border>
    <border>
      <left style="medium">
        <color rgb="FF1F497D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97D"/>
      </left>
      <right style="thin">
        <color rgb="FFA6A6A6"/>
      </right>
      <top style="thin">
        <color rgb="FFA6A6A6"/>
      </top>
      <bottom/>
      <diagonal/>
    </border>
    <border>
      <left style="medium">
        <color rgb="FF1F497D"/>
      </left>
      <right style="thin">
        <color rgb="FFA6A6A6"/>
      </right>
      <top style="thin">
        <color rgb="FFA6A6A6"/>
      </top>
      <bottom style="medium">
        <color rgb="FF1F497D"/>
      </bottom>
      <diagonal/>
    </border>
    <border>
      <left style="medium">
        <color rgb="FF1F497D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medium">
        <color rgb="FF1F497D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rgb="FF1F497D"/>
      </right>
      <top style="thin">
        <color rgb="FFA6A6A6"/>
      </top>
      <bottom/>
      <diagonal/>
    </border>
    <border>
      <left style="thin">
        <color rgb="FFA6A6A6"/>
      </left>
      <right style="medium">
        <color rgb="FF1F497D"/>
      </right>
      <top style="thin">
        <color rgb="FFA6A6A6"/>
      </top>
      <bottom style="medium">
        <color rgb="FF1F497D"/>
      </bottom>
      <diagonal/>
    </border>
    <border>
      <left style="thin">
        <color rgb="FFA6A6A6"/>
      </left>
      <right style="medium">
        <color rgb="FF1F497D"/>
      </right>
      <top/>
      <bottom style="thin">
        <color rgb="FFA6A6A6"/>
      </bottom>
      <diagonal/>
    </border>
    <border>
      <left style="medium">
        <color rgb="FF1F497D"/>
      </left>
      <right style="thin">
        <color rgb="FFA6A6A6"/>
      </right>
      <top style="medium">
        <color rgb="FF1F497D"/>
      </top>
      <bottom/>
      <diagonal/>
    </border>
    <border>
      <left style="thin">
        <color rgb="FFA6A6A6"/>
      </left>
      <right style="thin">
        <color rgb="FFA6A6A6"/>
      </right>
      <top style="medium">
        <color rgb="FF1F497D"/>
      </top>
      <bottom/>
      <diagonal/>
    </border>
    <border>
      <left style="thin">
        <color rgb="FFA6A6A6"/>
      </left>
      <right style="medium">
        <color rgb="FF1F497D"/>
      </right>
      <top style="medium">
        <color rgb="FF1F497D"/>
      </top>
      <bottom/>
      <diagonal/>
    </border>
    <border>
      <left style="thin">
        <color rgb="FFA6A6A6"/>
      </left>
      <right style="medium">
        <color rgb="FF1F497D"/>
      </right>
      <top style="medium">
        <color rgb="FF1F497D"/>
      </top>
      <bottom style="medium">
        <color rgb="FF1F497D"/>
      </bottom>
      <diagonal/>
    </border>
    <border>
      <left/>
      <right/>
      <top/>
      <bottom style="medium">
        <color rgb="FF1F497D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/>
      <diagonal/>
    </border>
    <border>
      <left style="thin">
        <color rgb="FF8EA9DB"/>
      </left>
      <right/>
      <top/>
      <bottom/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/>
      <bottom/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/>
      <right/>
      <top style="thin">
        <color rgb="FF1F497D"/>
      </top>
      <bottom style="thin">
        <color rgb="FF8EA9DB"/>
      </bottom>
      <diagonal/>
    </border>
    <border>
      <left style="thin">
        <color rgb="FF8EA9DB"/>
      </left>
      <right/>
      <top style="thin">
        <color rgb="FF1F497D"/>
      </top>
      <bottom style="thin">
        <color rgb="FF8EA9DB"/>
      </bottom>
      <diagonal/>
    </border>
    <border>
      <left/>
      <right style="thin">
        <color rgb="FF8EA9DB"/>
      </right>
      <top style="thin">
        <color rgb="FF1F497D"/>
      </top>
      <bottom style="thin">
        <color rgb="FF8EA9DB"/>
      </bottom>
      <diagonal/>
    </border>
    <border>
      <left style="medium">
        <color rgb="FF1F497D"/>
      </left>
      <right style="thin">
        <color rgb="FFA6A6A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medium">
        <color rgb="FF1F497D"/>
      </top>
      <bottom style="thin">
        <color rgb="FFA6A6A6"/>
      </bottom>
      <diagonal/>
    </border>
    <border>
      <left/>
      <right style="thin">
        <color rgb="FFA6A6A6"/>
      </right>
      <top style="medium">
        <color rgb="FF1F497D"/>
      </top>
      <bottom/>
      <diagonal/>
    </border>
    <border>
      <left style="thin">
        <color rgb="FFA6A6A6"/>
      </left>
      <right/>
      <top style="medium">
        <color rgb="FF1F497D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 style="medium">
        <color rgb="FF1F497D"/>
      </right>
      <top style="medium">
        <color rgb="FF1F497D"/>
      </top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/>
      <diagonal/>
    </border>
    <border>
      <left style="medium">
        <color rgb="FF1F497D"/>
      </left>
      <right style="medium">
        <color rgb="FF1F497D"/>
      </right>
      <top/>
      <bottom style="medium">
        <color rgb="FF1F497D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center"/>
    </xf>
    <xf numFmtId="0" fontId="4" fillId="7" borderId="1" xfId="0" applyFont="1" applyFill="1" applyBorder="1" applyAlignment="1">
      <alignment horizontal="left" vertical="center" indent="1"/>
    </xf>
    <xf numFmtId="14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inden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indent="1"/>
    </xf>
    <xf numFmtId="14" fontId="4" fillId="7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 indent="1"/>
    </xf>
    <xf numFmtId="14" fontId="4" fillId="8" borderId="3" xfId="0" applyNumberFormat="1" applyFont="1" applyFill="1" applyBorder="1" applyAlignment="1">
      <alignment horizontal="center" vertical="center"/>
    </xf>
    <xf numFmtId="164" fontId="4" fillId="8" borderId="3" xfId="0" applyNumberFormat="1" applyFont="1" applyFill="1" applyBorder="1" applyAlignment="1">
      <alignment horizontal="center" vertical="center"/>
    </xf>
    <xf numFmtId="3" fontId="4" fillId="8" borderId="3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indent="1"/>
    </xf>
    <xf numFmtId="14" fontId="4" fillId="7" borderId="4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3" fontId="4" fillId="7" borderId="4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4" fontId="4" fillId="8" borderId="2" xfId="0" applyNumberFormat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3" fontId="4" fillId="8" borderId="2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 indent="1"/>
    </xf>
    <xf numFmtId="14" fontId="4" fillId="7" borderId="3" xfId="0" applyNumberFormat="1" applyFont="1" applyFill="1" applyBorder="1" applyAlignment="1">
      <alignment horizontal="center" vertical="center"/>
    </xf>
    <xf numFmtId="164" fontId="4" fillId="7" borderId="3" xfId="0" applyNumberFormat="1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left" vertical="center" indent="1"/>
    </xf>
    <xf numFmtId="14" fontId="4" fillId="8" borderId="4" xfId="0" applyNumberFormat="1" applyFont="1" applyFill="1" applyBorder="1" applyAlignment="1">
      <alignment horizontal="center" vertical="center"/>
    </xf>
    <xf numFmtId="164" fontId="4" fillId="8" borderId="4" xfId="0" applyNumberFormat="1" applyFont="1" applyFill="1" applyBorder="1" applyAlignment="1">
      <alignment horizontal="center" vertical="center"/>
    </xf>
    <xf numFmtId="3" fontId="4" fillId="8" borderId="4" xfId="0" applyNumberFormat="1" applyFont="1" applyFill="1" applyBorder="1" applyAlignment="1">
      <alignment horizontal="center" vertical="center"/>
    </xf>
    <xf numFmtId="3" fontId="8" fillId="6" borderId="11" xfId="0" applyNumberFormat="1" applyFont="1" applyFill="1" applyBorder="1" applyAlignment="1">
      <alignment horizontal="center" vertical="center"/>
    </xf>
    <xf numFmtId="3" fontId="8" fillId="6" borderId="12" xfId="0" applyNumberFormat="1" applyFont="1" applyFill="1" applyBorder="1" applyAlignment="1">
      <alignment horizontal="center" vertical="center"/>
    </xf>
    <xf numFmtId="3" fontId="8" fillId="6" borderId="13" xfId="0" applyNumberFormat="1" applyFont="1" applyFill="1" applyBorder="1" applyAlignment="1">
      <alignment horizontal="center" vertical="center"/>
    </xf>
    <xf numFmtId="3" fontId="8" fillId="6" borderId="14" xfId="0" applyNumberFormat="1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3" fontId="8" fillId="6" borderId="12" xfId="1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3" fontId="10" fillId="5" borderId="5" xfId="0" applyNumberFormat="1" applyFont="1" applyFill="1" applyBorder="1" applyAlignment="1">
      <alignment horizontal="center" vertical="center"/>
    </xf>
    <xf numFmtId="3" fontId="10" fillId="5" borderId="18" xfId="0" applyNumberFormat="1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left" vertical="center" indent="1"/>
    </xf>
    <xf numFmtId="0" fontId="11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 applyFill="1"/>
    <xf numFmtId="0" fontId="10" fillId="5" borderId="22" xfId="0" applyFont="1" applyFill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/>
    <xf numFmtId="0" fontId="9" fillId="9" borderId="29" xfId="0" applyFont="1" applyFill="1" applyBorder="1"/>
    <xf numFmtId="3" fontId="11" fillId="0" borderId="0" xfId="0" applyNumberFormat="1" applyFont="1" applyBorder="1" applyAlignment="1">
      <alignment horizontal="right" indent="1"/>
    </xf>
    <xf numFmtId="167" fontId="11" fillId="0" borderId="26" xfId="0" applyNumberFormat="1" applyFont="1" applyBorder="1" applyAlignment="1">
      <alignment horizontal="right" indent="1"/>
    </xf>
    <xf numFmtId="165" fontId="11" fillId="0" borderId="0" xfId="0" applyNumberFormat="1" applyFont="1" applyBorder="1" applyAlignment="1">
      <alignment horizontal="right" indent="1"/>
    </xf>
    <xf numFmtId="166" fontId="11" fillId="0" borderId="21" xfId="0" applyNumberFormat="1" applyFont="1" applyBorder="1" applyAlignment="1">
      <alignment horizontal="right" indent="1"/>
    </xf>
    <xf numFmtId="167" fontId="11" fillId="0" borderId="0" xfId="0" applyNumberFormat="1" applyFont="1" applyBorder="1" applyAlignment="1">
      <alignment horizontal="right" indent="1"/>
    </xf>
    <xf numFmtId="0" fontId="11" fillId="0" borderId="26" xfId="0" applyFont="1" applyBorder="1" applyAlignment="1">
      <alignment horizontal="right" indent="1"/>
    </xf>
    <xf numFmtId="3" fontId="9" fillId="9" borderId="28" xfId="0" applyNumberFormat="1" applyFont="1" applyFill="1" applyBorder="1" applyAlignment="1">
      <alignment horizontal="right" indent="1"/>
    </xf>
    <xf numFmtId="167" fontId="9" fillId="9" borderId="28" xfId="0" applyNumberFormat="1" applyFont="1" applyFill="1" applyBorder="1" applyAlignment="1">
      <alignment horizontal="right" indent="1"/>
    </xf>
    <xf numFmtId="0" fontId="9" fillId="9" borderId="30" xfId="0" applyFont="1" applyFill="1" applyBorder="1" applyAlignment="1">
      <alignment horizontal="right" indent="1"/>
    </xf>
    <xf numFmtId="166" fontId="11" fillId="0" borderId="26" xfId="0" applyNumberFormat="1" applyFont="1" applyBorder="1" applyAlignment="1">
      <alignment horizontal="right" indent="1"/>
    </xf>
    <xf numFmtId="166" fontId="9" fillId="9" borderId="30" xfId="0" applyNumberFormat="1" applyFont="1" applyFill="1" applyBorder="1" applyAlignment="1">
      <alignment horizontal="right" indent="1"/>
    </xf>
    <xf numFmtId="3" fontId="11" fillId="0" borderId="26" xfId="0" applyNumberFormat="1" applyFont="1" applyBorder="1" applyAlignment="1">
      <alignment horizontal="right" indent="1"/>
    </xf>
    <xf numFmtId="3" fontId="9" fillId="9" borderId="30" xfId="0" applyNumberFormat="1" applyFont="1" applyFill="1" applyBorder="1" applyAlignment="1">
      <alignment horizontal="right" indent="1"/>
    </xf>
    <xf numFmtId="0" fontId="10" fillId="5" borderId="20" xfId="0" applyFont="1" applyFill="1" applyBorder="1" applyAlignment="1">
      <alignment horizontal="right" indent="1"/>
    </xf>
    <xf numFmtId="0" fontId="10" fillId="5" borderId="25" xfId="0" applyFont="1" applyFill="1" applyBorder="1" applyAlignment="1">
      <alignment horizontal="right" indent="1"/>
    </xf>
    <xf numFmtId="0" fontId="1" fillId="2" borderId="32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37" xfId="0" applyFont="1" applyFill="1" applyBorder="1" applyAlignment="1">
      <alignment horizontal="left" vertical="center"/>
    </xf>
    <xf numFmtId="14" fontId="4" fillId="7" borderId="37" xfId="0" applyNumberFormat="1" applyFont="1" applyFill="1" applyBorder="1" applyAlignment="1">
      <alignment horizontal="center" vertical="center"/>
    </xf>
    <xf numFmtId="164" fontId="4" fillId="7" borderId="37" xfId="0" applyNumberFormat="1" applyFont="1" applyFill="1" applyBorder="1" applyAlignment="1">
      <alignment horizontal="center" vertical="center"/>
    </xf>
    <xf numFmtId="3" fontId="4" fillId="7" borderId="37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14" fontId="4" fillId="8" borderId="37" xfId="0" applyNumberFormat="1" applyFont="1" applyFill="1" applyBorder="1" applyAlignment="1">
      <alignment horizontal="center" vertical="center"/>
    </xf>
    <xf numFmtId="164" fontId="4" fillId="8" borderId="37" xfId="0" applyNumberFormat="1" applyFont="1" applyFill="1" applyBorder="1" applyAlignment="1">
      <alignment horizontal="center" vertical="center"/>
    </xf>
    <xf numFmtId="3" fontId="4" fillId="8" borderId="37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3" fontId="4" fillId="7" borderId="39" xfId="0" applyNumberFormat="1" applyFont="1" applyFill="1" applyBorder="1" applyAlignment="1">
      <alignment horizontal="center" vertical="center"/>
    </xf>
    <xf numFmtId="3" fontId="4" fillId="7" borderId="35" xfId="0" applyNumberFormat="1" applyFont="1" applyFill="1" applyBorder="1" applyAlignment="1">
      <alignment horizontal="center" vertical="center"/>
    </xf>
    <xf numFmtId="3" fontId="4" fillId="7" borderId="40" xfId="0" applyNumberFormat="1" applyFont="1" applyFill="1" applyBorder="1" applyAlignment="1">
      <alignment horizontal="center" vertical="center"/>
    </xf>
    <xf numFmtId="3" fontId="4" fillId="8" borderId="39" xfId="0" applyNumberFormat="1" applyFont="1" applyFill="1" applyBorder="1" applyAlignment="1">
      <alignment horizontal="center" vertical="center"/>
    </xf>
    <xf numFmtId="3" fontId="4" fillId="8" borderId="35" xfId="0" applyNumberFormat="1" applyFont="1" applyFill="1" applyBorder="1" applyAlignment="1">
      <alignment horizontal="center" vertical="center"/>
    </xf>
    <xf numFmtId="3" fontId="4" fillId="8" borderId="40" xfId="0" applyNumberFormat="1" applyFont="1" applyFill="1" applyBorder="1" applyAlignment="1">
      <alignment horizontal="center" vertical="center"/>
    </xf>
    <xf numFmtId="3" fontId="8" fillId="6" borderId="41" xfId="0" applyNumberFormat="1" applyFont="1" applyFill="1" applyBorder="1" applyAlignment="1">
      <alignment horizontal="center" vertical="center"/>
    </xf>
    <xf numFmtId="168" fontId="11" fillId="0" borderId="0" xfId="0" applyNumberFormat="1" applyFont="1" applyBorder="1" applyAlignment="1">
      <alignment horizontal="right" indent="1"/>
    </xf>
    <xf numFmtId="0" fontId="11" fillId="0" borderId="0" xfId="0" applyFont="1" applyAlignment="1">
      <alignment horizontal="right" indent="1"/>
    </xf>
    <xf numFmtId="0" fontId="11" fillId="0" borderId="0" xfId="0" applyFont="1" applyFill="1" applyAlignment="1">
      <alignment horizontal="right" indent="1"/>
    </xf>
    <xf numFmtId="3" fontId="15" fillId="0" borderId="0" xfId="0" applyNumberFormat="1" applyFont="1" applyAlignment="1">
      <alignment horizontal="right"/>
    </xf>
    <xf numFmtId="167" fontId="11" fillId="0" borderId="27" xfId="0" applyNumberFormat="1" applyFont="1" applyBorder="1" applyAlignment="1">
      <alignment horizontal="right" indent="1"/>
    </xf>
    <xf numFmtId="0" fontId="18" fillId="11" borderId="0" xfId="0" applyFont="1" applyFill="1" applyAlignment="1">
      <alignment horizontal="center"/>
    </xf>
    <xf numFmtId="0" fontId="19" fillId="0" borderId="0" xfId="0" applyFont="1"/>
    <xf numFmtId="0" fontId="19" fillId="4" borderId="0" xfId="0" applyFont="1" applyFill="1"/>
    <xf numFmtId="3" fontId="19" fillId="4" borderId="0" xfId="0" applyNumberFormat="1" applyFont="1" applyFill="1"/>
    <xf numFmtId="0" fontId="20" fillId="9" borderId="46" xfId="0" applyFont="1" applyFill="1" applyBorder="1" applyAlignment="1">
      <alignment horizontal="center"/>
    </xf>
    <xf numFmtId="3" fontId="20" fillId="9" borderId="46" xfId="0" applyNumberFormat="1" applyFont="1" applyFill="1" applyBorder="1" applyAlignment="1">
      <alignment horizontal="center" vertical="center"/>
    </xf>
    <xf numFmtId="3" fontId="20" fillId="9" borderId="46" xfId="0" applyNumberFormat="1" applyFont="1" applyFill="1" applyBorder="1" applyAlignment="1">
      <alignment horizontal="center"/>
    </xf>
    <xf numFmtId="169" fontId="8" fillId="6" borderId="11" xfId="0" applyNumberFormat="1" applyFont="1" applyFill="1" applyBorder="1" applyAlignment="1">
      <alignment horizontal="center" vertical="center"/>
    </xf>
    <xf numFmtId="169" fontId="8" fillId="8" borderId="11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3" fontId="4" fillId="8" borderId="47" xfId="0" applyNumberFormat="1" applyFont="1" applyFill="1" applyBorder="1" applyAlignment="1">
      <alignment horizontal="center" vertical="center"/>
    </xf>
    <xf numFmtId="169" fontId="8" fillId="6" borderId="14" xfId="0" applyNumberFormat="1" applyFont="1" applyFill="1" applyBorder="1" applyAlignment="1">
      <alignment horizontal="center" vertical="center"/>
    </xf>
    <xf numFmtId="169" fontId="8" fillId="6" borderId="41" xfId="0" applyNumberFormat="1" applyFont="1" applyFill="1" applyBorder="1" applyAlignment="1">
      <alignment horizontal="center" vertical="center"/>
    </xf>
    <xf numFmtId="0" fontId="16" fillId="0" borderId="0" xfId="0" applyFont="1" applyFill="1" applyBorder="1"/>
    <xf numFmtId="0" fontId="12" fillId="5" borderId="0" xfId="0" applyFont="1" applyFill="1" applyAlignment="1">
      <alignment horizontal="left" vertical="center" indent="1"/>
    </xf>
    <xf numFmtId="0" fontId="13" fillId="0" borderId="0" xfId="0" applyFont="1" applyAlignment="1">
      <alignment indent="1"/>
    </xf>
    <xf numFmtId="0" fontId="8" fillId="9" borderId="0" xfId="0" applyFont="1" applyFill="1" applyBorder="1" applyAlignment="1">
      <alignment vertical="center" indent="1"/>
    </xf>
    <xf numFmtId="0" fontId="8" fillId="9" borderId="19" xfId="0" applyFont="1" applyFill="1" applyBorder="1" applyAlignment="1">
      <alignment vertical="center" indent="1"/>
    </xf>
    <xf numFmtId="0" fontId="5" fillId="5" borderId="43" xfId="0" applyFont="1" applyFill="1" applyBorder="1" applyAlignment="1">
      <alignment horizontal="center" vertical="center" wrapText="1"/>
    </xf>
    <xf numFmtId="0" fontId="5" fillId="5" borderId="44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textRotation="90"/>
    </xf>
    <xf numFmtId="0" fontId="4" fillId="7" borderId="31" xfId="0" applyFont="1" applyFill="1" applyBorder="1" applyAlignment="1">
      <alignment horizontal="center" vertical="center" textRotation="255"/>
    </xf>
    <xf numFmtId="0" fontId="4" fillId="7" borderId="38" xfId="0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 textRotation="90"/>
    </xf>
    <xf numFmtId="0" fontId="4" fillId="8" borderId="31" xfId="0" applyFont="1" applyFill="1" applyBorder="1" applyAlignment="1">
      <alignment horizontal="center" vertical="center" textRotation="255"/>
    </xf>
    <xf numFmtId="0" fontId="4" fillId="8" borderId="38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17" fillId="10" borderId="33" xfId="0" applyFont="1" applyFill="1" applyBorder="1" applyAlignment="1">
      <alignment horizontal="center" vertical="center"/>
    </xf>
    <xf numFmtId="0" fontId="17" fillId="10" borderId="32" xfId="0" applyFont="1" applyFill="1" applyBorder="1" applyAlignment="1">
      <alignment horizontal="center" vertical="center"/>
    </xf>
    <xf numFmtId="0" fontId="17" fillId="10" borderId="42" xfId="0" applyFont="1" applyFill="1" applyBorder="1" applyAlignment="1">
      <alignment horizontal="center" vertical="center"/>
    </xf>
    <xf numFmtId="0" fontId="17" fillId="10" borderId="34" xfId="0" applyFont="1" applyFill="1" applyBorder="1" applyAlignment="1">
      <alignment horizontal="center" vertical="center"/>
    </xf>
    <xf numFmtId="0" fontId="17" fillId="10" borderId="33" xfId="0" applyFont="1" applyFill="1" applyBorder="1" applyAlignment="1">
      <alignment horizontal="center" vertical="center" textRotation="90"/>
    </xf>
    <xf numFmtId="0" fontId="17" fillId="10" borderId="32" xfId="0" applyFont="1" applyFill="1" applyBorder="1" applyAlignment="1">
      <alignment horizontal="center" vertical="center" textRotation="90"/>
    </xf>
    <xf numFmtId="0" fontId="7" fillId="0" borderId="15" xfId="0" applyFont="1" applyFill="1" applyBorder="1" applyAlignment="1">
      <alignment horizontal="center" vertical="center" textRotation="90"/>
    </xf>
    <xf numFmtId="0" fontId="7" fillId="0" borderId="31" xfId="0" applyFont="1" applyFill="1" applyBorder="1" applyAlignment="1">
      <alignment horizontal="center" vertical="center" textRotation="90"/>
    </xf>
    <xf numFmtId="170" fontId="4" fillId="7" borderId="16" xfId="0" applyNumberFormat="1" applyFont="1" applyFill="1" applyBorder="1" applyAlignment="1">
      <alignment horizontal="center" vertical="center"/>
    </xf>
    <xf numFmtId="170" fontId="4" fillId="7" borderId="45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 textRotation="90"/>
    </xf>
    <xf numFmtId="0" fontId="0" fillId="0" borderId="31" xfId="0" applyBorder="1"/>
    <xf numFmtId="170" fontId="0" fillId="0" borderId="45" xfId="0" applyNumberFormat="1" applyBorder="1" applyAlignment="1">
      <alignment horizontal="center" vertical="center"/>
    </xf>
    <xf numFmtId="170" fontId="0" fillId="0" borderId="45" xfId="0" applyNumberFormat="1" applyBorder="1"/>
    <xf numFmtId="0" fontId="21" fillId="8" borderId="31" xfId="0" applyFont="1" applyFill="1" applyBorder="1" applyAlignment="1">
      <alignment horizontal="center" vertical="center" textRotation="90"/>
    </xf>
    <xf numFmtId="0" fontId="0" fillId="8" borderId="31" xfId="0" applyFill="1" applyBorder="1"/>
    <xf numFmtId="170" fontId="0" fillId="8" borderId="45" xfId="0" applyNumberFormat="1" applyFill="1" applyBorder="1" applyAlignment="1">
      <alignment horizontal="center" vertical="center"/>
    </xf>
    <xf numFmtId="170" fontId="0" fillId="8" borderId="45" xfId="0" applyNumberFormat="1" applyFill="1" applyBorder="1"/>
    <xf numFmtId="0" fontId="7" fillId="8" borderId="10" xfId="0" applyFont="1" applyFill="1" applyBorder="1" applyAlignment="1">
      <alignment horizontal="center" vertical="center" textRotation="90"/>
    </xf>
    <xf numFmtId="0" fontId="7" fillId="8" borderId="7" xfId="0" applyFont="1" applyFill="1" applyBorder="1" applyAlignment="1">
      <alignment horizontal="center" vertical="center" textRotation="90"/>
    </xf>
    <xf numFmtId="0" fontId="7" fillId="8" borderId="8" xfId="0" applyFont="1" applyFill="1" applyBorder="1" applyAlignment="1">
      <alignment horizontal="center" vertical="center" textRotation="90"/>
    </xf>
    <xf numFmtId="0" fontId="7" fillId="8" borderId="9" xfId="0" applyFont="1" applyFill="1" applyBorder="1" applyAlignment="1">
      <alignment horizontal="center" vertical="center" textRotation="90"/>
    </xf>
    <xf numFmtId="0" fontId="7" fillId="7" borderId="10" xfId="0" applyFont="1" applyFill="1" applyBorder="1" applyAlignment="1">
      <alignment horizontal="center" vertical="center" textRotation="90"/>
    </xf>
    <xf numFmtId="0" fontId="7" fillId="7" borderId="7" xfId="0" applyFont="1" applyFill="1" applyBorder="1" applyAlignment="1">
      <alignment horizontal="center" vertical="center" textRotation="90"/>
    </xf>
    <xf numFmtId="0" fontId="7" fillId="7" borderId="8" xfId="0" applyFont="1" applyFill="1" applyBorder="1" applyAlignment="1">
      <alignment horizontal="center" vertical="center" textRotation="90"/>
    </xf>
    <xf numFmtId="0" fontId="7" fillId="7" borderId="9" xfId="0" applyFont="1" applyFill="1" applyBorder="1" applyAlignment="1">
      <alignment horizontal="center" vertical="center" textRotation="90"/>
    </xf>
    <xf numFmtId="0" fontId="4" fillId="7" borderId="3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textRotation="90"/>
    </xf>
    <xf numFmtId="0" fontId="3" fillId="5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Virgül" xfId="1" builtinId="3"/>
  </cellStyles>
  <dxfs count="6">
    <dxf>
      <font>
        <b/>
        <i val="0"/>
        <color rgb="FFC00000"/>
      </font>
    </dxf>
    <dxf>
      <font>
        <b/>
        <i val="0"/>
        <color rgb="FF1E7145"/>
      </font>
    </dxf>
    <dxf>
      <font>
        <b/>
        <i val="0"/>
        <color rgb="FFC00000"/>
      </font>
    </dxf>
    <dxf>
      <font>
        <b/>
        <i val="0"/>
        <color rgb="FF1E7145"/>
      </font>
    </dxf>
    <dxf>
      <font>
        <b/>
        <i val="0"/>
        <color rgb="FFC00000"/>
      </font>
    </dxf>
    <dxf>
      <font>
        <b/>
        <i val="0"/>
        <color rgb="FF1E714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97D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2026 TEU Share by Agent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97D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9C-4E83-9446-DE8F67C992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9C-4E83-9446-DE8F67C992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9C-4E83-9446-DE8F67C992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9C-4E83-9446-DE8F67C99256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 ·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DASHBOARD!$A$52:$A$55</c:f>
              <c:strCache>
                <c:ptCount val="4"/>
                <c:pt idx="0">
                  <c:v>CMA</c:v>
                </c:pt>
                <c:pt idx="1">
                  <c:v>MAE</c:v>
                </c:pt>
                <c:pt idx="2">
                  <c:v>MSC</c:v>
                </c:pt>
                <c:pt idx="3">
                  <c:v>OBT</c:v>
                </c:pt>
              </c:strCache>
            </c:strRef>
          </c:cat>
          <c:val>
            <c:numRef>
              <c:f>DASHBOARD!$B$52:$B$55</c:f>
              <c:numCache>
                <c:formatCode>#,##0</c:formatCode>
                <c:ptCount val="4"/>
                <c:pt idx="0">
                  <c:v>14758</c:v>
                </c:pt>
                <c:pt idx="1">
                  <c:v>43512</c:v>
                </c:pt>
                <c:pt idx="2">
                  <c:v>18781</c:v>
                </c:pt>
                <c:pt idx="3">
                  <c:v>8427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0-433D-8D31-21ADAA3F6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Monthly TEU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rgbClr val="8FAADC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DASHBOARD!$A$17:$A$28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DASHBOARD!$B$17:$B$28</c:f>
              <c:numCache>
                <c:formatCode>#,##0</c:formatCode>
                <c:ptCount val="12"/>
                <c:pt idx="0">
                  <c:v>8288</c:v>
                </c:pt>
                <c:pt idx="1">
                  <c:v>8833</c:v>
                </c:pt>
                <c:pt idx="2">
                  <c:v>11055</c:v>
                </c:pt>
                <c:pt idx="3">
                  <c:v>11436</c:v>
                </c:pt>
                <c:pt idx="4">
                  <c:v>9569</c:v>
                </c:pt>
                <c:pt idx="5">
                  <c:v>8583</c:v>
                </c:pt>
                <c:pt idx="6">
                  <c:v>9802</c:v>
                </c:pt>
                <c:pt idx="7">
                  <c:v>6891</c:v>
                </c:pt>
                <c:pt idx="8">
                  <c:v>7760</c:v>
                </c:pt>
                <c:pt idx="9">
                  <c:v>9141</c:v>
                </c:pt>
                <c:pt idx="10">
                  <c:v>7079</c:v>
                </c:pt>
                <c:pt idx="11">
                  <c:v>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E-4E9C-AA01-EAA380FC6C13}"/>
            </c:ext>
          </c:extLst>
        </c:ser>
        <c:ser>
          <c:idx val="1"/>
          <c:order val="1"/>
          <c:tx>
            <c:v>2025</c:v>
          </c:tx>
          <c:spPr>
            <a:solidFill>
              <a:srgbClr val="1F497D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DASHBOARD!$A$17:$A$28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DASHBOARD!$C$17:$C$28</c:f>
              <c:numCache>
                <c:formatCode>#,##0</c:formatCode>
                <c:ptCount val="12"/>
                <c:pt idx="0">
                  <c:v>11995</c:v>
                </c:pt>
                <c:pt idx="1">
                  <c:v>6492</c:v>
                </c:pt>
                <c:pt idx="2">
                  <c:v>9243</c:v>
                </c:pt>
                <c:pt idx="3">
                  <c:v>11218</c:v>
                </c:pt>
                <c:pt idx="4">
                  <c:v>10414</c:v>
                </c:pt>
                <c:pt idx="5">
                  <c:v>11653</c:v>
                </c:pt>
                <c:pt idx="6">
                  <c:v>8887</c:v>
                </c:pt>
                <c:pt idx="7">
                  <c:v>8585</c:v>
                </c:pt>
                <c:pt idx="8">
                  <c:v>8101</c:v>
                </c:pt>
                <c:pt idx="9">
                  <c:v>9140</c:v>
                </c:pt>
                <c:pt idx="10">
                  <c:v>10012</c:v>
                </c:pt>
                <c:pt idx="11">
                  <c:v>7860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E-4E9C-AA01-EAA380FC6C13}"/>
            </c:ext>
          </c:extLst>
        </c:ser>
        <c:ser>
          <c:idx val="2"/>
          <c:order val="2"/>
          <c:tx>
            <c:v>2026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DASHBOARD!$A$17:$A$28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DASHBOARD!$D$17:$D$28</c:f>
              <c:numCache>
                <c:formatCode>#,##0;\-#,##0;"–"</c:formatCode>
                <c:ptCount val="12"/>
                <c:pt idx="0">
                  <c:v>14666</c:v>
                </c:pt>
                <c:pt idx="1">
                  <c:v>5123</c:v>
                </c:pt>
                <c:pt idx="2">
                  <c:v>12744</c:v>
                </c:pt>
                <c:pt idx="3">
                  <c:v>12671</c:v>
                </c:pt>
                <c:pt idx="4">
                  <c:v>10628</c:v>
                </c:pt>
                <c:pt idx="5">
                  <c:v>15639</c:v>
                </c:pt>
                <c:pt idx="6">
                  <c:v>8283</c:v>
                </c:pt>
                <c:pt idx="7">
                  <c:v>5724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0E-4E9C-AA01-EAA380FC6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491903"/>
        <c:axId val="1934489503"/>
      </c:barChart>
      <c:catAx>
        <c:axId val="193449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BFBFB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4489503"/>
        <c:crosses val="autoZero"/>
        <c:auto val="1"/>
        <c:lblAlgn val="ctr"/>
        <c:lblOffset val="100"/>
        <c:noMultiLvlLbl val="0"/>
      </c:catAx>
      <c:valAx>
        <c:axId val="193448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BFBFB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449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Container Mix by Year (units)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2024</c:v>
          </c:tx>
          <c:spPr>
            <a:solidFill>
              <a:srgbClr val="8FAADC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DASHBOARD!$A$42:$A$47</c:f>
              <c:strCache>
                <c:ptCount val="6"/>
                <c:pt idx="0">
                  <c:v>Discharge 20'</c:v>
                </c:pt>
                <c:pt idx="1">
                  <c:v>Discharge 40'</c:v>
                </c:pt>
                <c:pt idx="2">
                  <c:v>FCL loading 20'</c:v>
                </c:pt>
                <c:pt idx="3">
                  <c:v>FCL loading 40'</c:v>
                </c:pt>
                <c:pt idx="4">
                  <c:v>Empty loading 20'</c:v>
                </c:pt>
                <c:pt idx="5">
                  <c:v>Empty loading 40'</c:v>
                </c:pt>
              </c:strCache>
            </c:strRef>
          </c:cat>
          <c:val>
            <c:numRef>
              <c:f>DASHBOARD!$B$42:$B$47</c:f>
              <c:numCache>
                <c:formatCode>#,##0</c:formatCode>
                <c:ptCount val="6"/>
                <c:pt idx="0">
                  <c:v>18100</c:v>
                </c:pt>
                <c:pt idx="1">
                  <c:v>35738</c:v>
                </c:pt>
                <c:pt idx="2">
                  <c:v>3406</c:v>
                </c:pt>
                <c:pt idx="3">
                  <c:v>6266</c:v>
                </c:pt>
                <c:pt idx="4">
                  <c:v>14544</c:v>
                </c:pt>
                <c:pt idx="5">
                  <c:v>30016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E-4609-851B-A5925ACFDD97}"/>
            </c:ext>
          </c:extLst>
        </c:ser>
        <c:ser>
          <c:idx val="1"/>
          <c:order val="1"/>
          <c:tx>
            <c:v>2025</c:v>
          </c:tx>
          <c:spPr>
            <a:solidFill>
              <a:srgbClr val="1F497D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DASHBOARD!$A$42:$A$47</c:f>
              <c:strCache>
                <c:ptCount val="6"/>
                <c:pt idx="0">
                  <c:v>Discharge 20'</c:v>
                </c:pt>
                <c:pt idx="1">
                  <c:v>Discharge 40'</c:v>
                </c:pt>
                <c:pt idx="2">
                  <c:v>FCL loading 20'</c:v>
                </c:pt>
                <c:pt idx="3">
                  <c:v>FCL loading 40'</c:v>
                </c:pt>
                <c:pt idx="4">
                  <c:v>Empty loading 20'</c:v>
                </c:pt>
                <c:pt idx="5">
                  <c:v>Empty loading 40'</c:v>
                </c:pt>
              </c:strCache>
            </c:strRef>
          </c:cat>
          <c:val>
            <c:numRef>
              <c:f>DASHBOARD!$C$42:$C$47</c:f>
              <c:numCache>
                <c:formatCode>#,##0</c:formatCode>
                <c:ptCount val="6"/>
                <c:pt idx="0">
                  <c:v>16405</c:v>
                </c:pt>
                <c:pt idx="1">
                  <c:v>40646</c:v>
                </c:pt>
                <c:pt idx="2">
                  <c:v>3250</c:v>
                </c:pt>
                <c:pt idx="3">
                  <c:v>8306</c:v>
                </c:pt>
                <c:pt idx="4">
                  <c:v>13231</c:v>
                </c:pt>
                <c:pt idx="5">
                  <c:v>31762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DE-4609-851B-A5925ACFDD97}"/>
            </c:ext>
          </c:extLst>
        </c:ser>
        <c:ser>
          <c:idx val="2"/>
          <c:order val="2"/>
          <c:tx>
            <c:v>2026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DASHBOARD!$A$42:$A$47</c:f>
              <c:strCache>
                <c:ptCount val="6"/>
                <c:pt idx="0">
                  <c:v>Discharge 20'</c:v>
                </c:pt>
                <c:pt idx="1">
                  <c:v>Discharge 40'</c:v>
                </c:pt>
                <c:pt idx="2">
                  <c:v>FCL loading 20'</c:v>
                </c:pt>
                <c:pt idx="3">
                  <c:v>FCL loading 40'</c:v>
                </c:pt>
                <c:pt idx="4">
                  <c:v>Empty loading 20'</c:v>
                </c:pt>
                <c:pt idx="5">
                  <c:v>Empty loading 40'</c:v>
                </c:pt>
              </c:strCache>
            </c:strRef>
          </c:cat>
          <c:val>
            <c:numRef>
              <c:f>DASHBOARD!$D$42:$D$47</c:f>
              <c:numCache>
                <c:formatCode>#,##0</c:formatCode>
                <c:ptCount val="6"/>
                <c:pt idx="0">
                  <c:v>12186</c:v>
                </c:pt>
                <c:pt idx="1">
                  <c:v>31066</c:v>
                </c:pt>
                <c:pt idx="2">
                  <c:v>2668</c:v>
                </c:pt>
                <c:pt idx="3">
                  <c:v>8748</c:v>
                </c:pt>
                <c:pt idx="4">
                  <c:v>9220</c:v>
                </c:pt>
                <c:pt idx="5">
                  <c:v>21590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DE-4609-851B-A5925ACFD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9011007"/>
        <c:axId val="1939008607"/>
      </c:barChart>
      <c:catAx>
        <c:axId val="193901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BFBFB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9008607"/>
        <c:crosses val="autoZero"/>
        <c:auto val="1"/>
        <c:lblAlgn val="ctr"/>
        <c:lblOffset val="100"/>
        <c:noMultiLvlLbl val="0"/>
      </c:catAx>
      <c:valAx>
        <c:axId val="193900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BFBFB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901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303364</xdr:colOff>
      <xdr:row>23</xdr:row>
      <xdr:rowOff>95084</xdr:rowOff>
    </xdr:from>
    <xdr:to>
      <xdr:col>17</xdr:col>
      <xdr:colOff>164217</xdr:colOff>
      <xdr:row>43</xdr:row>
      <xdr:rowOff>80507</xdr:rowOff>
    </xdr:to>
    <xdr:graphicFrame macro="">
      <xdr:nvGraphicFramePr>
        <xdr:cNvPr id="5" name="AgentShare">
          <a:extLst>
            <a:ext uri="{FF2B5EF4-FFF2-40B4-BE49-F238E27FC236}">
              <a16:creationId xmlns:a16="http://schemas.microsoft.com/office/drawing/2014/main" id="{679AF4C6-106F-B2BE-BF75-364689B6E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303364</xdr:colOff>
      <xdr:row>2</xdr:row>
      <xdr:rowOff>109993</xdr:rowOff>
    </xdr:from>
    <xdr:to>
      <xdr:col>17</xdr:col>
      <xdr:colOff>164217</xdr:colOff>
      <xdr:row>22</xdr:row>
      <xdr:rowOff>95416</xdr:rowOff>
    </xdr:to>
    <xdr:graphicFrame macro="">
      <xdr:nvGraphicFramePr>
        <xdr:cNvPr id="8" name="MonthlyTEUs">
          <a:extLst>
            <a:ext uri="{FF2B5EF4-FFF2-40B4-BE49-F238E27FC236}">
              <a16:creationId xmlns:a16="http://schemas.microsoft.com/office/drawing/2014/main" id="{87E48821-37C9-39EC-E011-C8FBCC24A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303364</xdr:colOff>
      <xdr:row>44</xdr:row>
      <xdr:rowOff>80176</xdr:rowOff>
    </xdr:from>
    <xdr:to>
      <xdr:col>17</xdr:col>
      <xdr:colOff>164217</xdr:colOff>
      <xdr:row>64</xdr:row>
      <xdr:rowOff>73550</xdr:rowOff>
    </xdr:to>
    <xdr:graphicFrame macro="">
      <xdr:nvGraphicFramePr>
        <xdr:cNvPr id="9" name="ContainerMix">
          <a:extLst>
            <a:ext uri="{FF2B5EF4-FFF2-40B4-BE49-F238E27FC236}">
              <a16:creationId xmlns:a16="http://schemas.microsoft.com/office/drawing/2014/main" id="{C230592D-5032-4B31-1CBC-E2841E4BC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3B9F76-7501-46D5-84B2-3509F90CDCAD}">
  <we:reference id="wa200009404" version="1.0.0.8" store="tr-TR" storeType="OMEX"/>
  <we:alternateReferences>
    <we:reference id="wa200009404" version="1.0.0.8" store="WA200009404" storeType="OMEX"/>
  </we:alternateReferences>
  <we:properties>
    <we:property name="claude.fileId" value="&quot;f09a3259-5d8d-4f1a-9419-e3fa1d9d60e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8A89-A043-4B14-A648-45214C8B1F36}">
  <sheetPr>
    <tabColor rgb="FF1F497D"/>
  </sheetPr>
  <dimension ref="A1:F55"/>
  <sheetViews>
    <sheetView showGridLines="0" topLeftCell="A26" workbookViewId="0">
      <selection activeCell="I36" sqref="I36"/>
    </sheetView>
  </sheetViews>
  <sheetFormatPr defaultRowHeight="15.05" x14ac:dyDescent="0.3"/>
  <cols>
    <col min="1" max="1" width="35.44140625" customWidth="1"/>
    <col min="2" max="6" width="15.6640625" customWidth="1"/>
  </cols>
  <sheetData>
    <row r="1" spans="1:6" ht="34" customHeight="1" x14ac:dyDescent="0.3">
      <c r="A1" s="117" t="s">
        <v>67</v>
      </c>
      <c r="B1" s="117"/>
      <c r="C1" s="117"/>
      <c r="D1" s="117"/>
      <c r="E1" s="117"/>
      <c r="F1" s="117"/>
    </row>
    <row r="2" spans="1:6" ht="18" customHeight="1" x14ac:dyDescent="0.3">
      <c r="A2" s="118" t="s">
        <v>68</v>
      </c>
      <c r="B2" s="118"/>
      <c r="C2" s="118"/>
      <c r="D2" s="118"/>
      <c r="E2" s="118"/>
      <c r="F2" s="118"/>
    </row>
    <row r="3" spans="1:6" x14ac:dyDescent="0.3">
      <c r="A3" s="54"/>
      <c r="B3" s="54"/>
      <c r="C3" s="54"/>
      <c r="D3" s="54"/>
      <c r="E3" s="54"/>
      <c r="F3" s="54"/>
    </row>
    <row r="4" spans="1:6" ht="15.65" thickBot="1" x14ac:dyDescent="0.35">
      <c r="A4" s="119" t="s">
        <v>69</v>
      </c>
      <c r="B4" s="119"/>
      <c r="C4" s="119"/>
      <c r="D4" s="119"/>
      <c r="E4" s="119"/>
      <c r="F4" s="120"/>
    </row>
    <row r="5" spans="1:6" x14ac:dyDescent="0.3">
      <c r="A5" s="58" t="s">
        <v>70</v>
      </c>
      <c r="B5" s="75">
        <v>2024</v>
      </c>
      <c r="C5" s="75">
        <v>2025</v>
      </c>
      <c r="D5" s="75" t="s">
        <v>71</v>
      </c>
      <c r="E5" s="76" t="s">
        <v>64</v>
      </c>
      <c r="F5" s="57"/>
    </row>
    <row r="6" spans="1:6" x14ac:dyDescent="0.3">
      <c r="A6" s="59" t="s">
        <v>72</v>
      </c>
      <c r="B6" s="62">
        <f>COUNT('2024'!$E$3:$E$500)</f>
        <v>103</v>
      </c>
      <c r="C6" s="62">
        <f>COUNT('2025'!$E$3:$E$500)</f>
        <v>101</v>
      </c>
      <c r="D6" s="62">
        <f>COUNT('2026'!$E$3:$E$500)</f>
        <v>74</v>
      </c>
      <c r="E6" s="63">
        <f t="shared" ref="E6:E11" si="0">IFERROR(C6/B6-1,"")</f>
        <v>-1.9417475728155331E-2</v>
      </c>
      <c r="F6" s="99"/>
    </row>
    <row r="7" spans="1:6" x14ac:dyDescent="0.3">
      <c r="A7" s="59" t="s">
        <v>73</v>
      </c>
      <c r="B7" s="62">
        <f>SUM(B42:B47)</f>
        <v>108070</v>
      </c>
      <c r="C7" s="62">
        <f>SUM(C42:C47)</f>
        <v>113600</v>
      </c>
      <c r="D7" s="62">
        <f>SUM(D42:D47)</f>
        <v>85478</v>
      </c>
      <c r="E7" s="63">
        <f t="shared" si="0"/>
        <v>5.1170537614509071E-2</v>
      </c>
      <c r="F7" s="99"/>
    </row>
    <row r="8" spans="1:6" x14ac:dyDescent="0.3">
      <c r="A8" s="59" t="s">
        <v>74</v>
      </c>
      <c r="B8" s="62">
        <f>B42+B43/2+B44+B45/2+B46+B47/2</f>
        <v>72060</v>
      </c>
      <c r="C8" s="62">
        <f>C42+C43/2+C44+C45/2+C46+C47/2</f>
        <v>73243</v>
      </c>
      <c r="D8" s="62">
        <f>D42+D43/2+D44+D45/2+D46+D47/2</f>
        <v>54776</v>
      </c>
      <c r="E8" s="63">
        <f t="shared" si="0"/>
        <v>1.6416874826533423E-2</v>
      </c>
      <c r="F8" s="99"/>
    </row>
    <row r="9" spans="1:6" x14ac:dyDescent="0.3">
      <c r="A9" s="59" t="s">
        <v>75</v>
      </c>
      <c r="B9" s="64">
        <f>IFERROR(B7/B6,0)</f>
        <v>1049.2233009708739</v>
      </c>
      <c r="C9" s="64">
        <f>IFERROR(C7/C6,0)</f>
        <v>1124.7524752475247</v>
      </c>
      <c r="D9" s="64">
        <f>IFERROR(D7/D6,0)</f>
        <v>1155.1081081081081</v>
      </c>
      <c r="E9" s="63">
        <f t="shared" si="0"/>
        <v>7.1985795785093343E-2</v>
      </c>
      <c r="F9" s="99"/>
    </row>
    <row r="10" spans="1:6" x14ac:dyDescent="0.3">
      <c r="A10" s="59" t="s">
        <v>76</v>
      </c>
      <c r="B10" s="62">
        <f>B42+B43/2</f>
        <v>35969</v>
      </c>
      <c r="C10" s="62">
        <f>C42+C43/2</f>
        <v>36728</v>
      </c>
      <c r="D10" s="62">
        <f>D42+D43/2</f>
        <v>27719</v>
      </c>
      <c r="E10" s="63">
        <f t="shared" si="0"/>
        <v>2.1101504072951638E-2</v>
      </c>
      <c r="F10" s="99"/>
    </row>
    <row r="11" spans="1:6" x14ac:dyDescent="0.3">
      <c r="A11" s="59" t="s">
        <v>77</v>
      </c>
      <c r="B11" s="62">
        <f>B8-B10</f>
        <v>36091</v>
      </c>
      <c r="C11" s="62">
        <f>C8-C10</f>
        <v>36515</v>
      </c>
      <c r="D11" s="62">
        <f>D8-D10</f>
        <v>27057</v>
      </c>
      <c r="E11" s="63">
        <f t="shared" si="0"/>
        <v>1.1748081239089991E-2</v>
      </c>
      <c r="F11" s="99"/>
    </row>
    <row r="12" spans="1:6" x14ac:dyDescent="0.3">
      <c r="A12" s="60" t="s">
        <v>78</v>
      </c>
      <c r="B12" s="65">
        <f>IFERROR((B43+B45+B47)/2/B8,0)</f>
        <v>0.49972245351096306</v>
      </c>
      <c r="C12" s="65">
        <f>IFERROR((C43+C45+C47)/2/C8,0)</f>
        <v>0.55100146089046054</v>
      </c>
      <c r="D12" s="65">
        <f>IFERROR((D43+D45+D47)/2/D8,0)</f>
        <v>0.56050094932087047</v>
      </c>
      <c r="E12" s="102">
        <f>IFERROR(C12/B12-1,"")</f>
        <v>0.10261497561140209</v>
      </c>
      <c r="F12" s="99"/>
    </row>
    <row r="13" spans="1:6" x14ac:dyDescent="0.3">
      <c r="A13" s="54"/>
      <c r="B13" s="54"/>
      <c r="C13" s="54"/>
      <c r="D13" s="54"/>
      <c r="E13" s="54"/>
      <c r="F13" s="54"/>
    </row>
    <row r="14" spans="1:6" x14ac:dyDescent="0.3">
      <c r="A14" s="54"/>
      <c r="B14" s="54"/>
      <c r="C14" s="54"/>
      <c r="D14" s="54"/>
      <c r="E14" s="54"/>
      <c r="F14" s="54"/>
    </row>
    <row r="15" spans="1:6" x14ac:dyDescent="0.3">
      <c r="A15" s="119" t="s">
        <v>79</v>
      </c>
      <c r="B15" s="119"/>
      <c r="C15" s="119"/>
      <c r="D15" s="119"/>
      <c r="E15" s="119"/>
      <c r="F15" s="119"/>
    </row>
    <row r="16" spans="1:6" x14ac:dyDescent="0.3">
      <c r="A16" s="58" t="s">
        <v>80</v>
      </c>
      <c r="B16" s="75">
        <v>2024</v>
      </c>
      <c r="C16" s="75">
        <v>2025</v>
      </c>
      <c r="D16" s="75">
        <v>2026</v>
      </c>
      <c r="E16" s="75" t="s">
        <v>64</v>
      </c>
      <c r="F16" s="76" t="s">
        <v>65</v>
      </c>
    </row>
    <row r="17" spans="1:6" x14ac:dyDescent="0.3">
      <c r="A17" s="59" t="s">
        <v>81</v>
      </c>
      <c r="B17" s="62">
        <f>SUMIF('2024'!$A$3:$A$500,$A17,'2024'!$O$3:$O$500)</f>
        <v>8288</v>
      </c>
      <c r="C17" s="62">
        <f>SUMIF('2025'!$A$3:$A$500,$A17,'2025'!$O$3:$O$500)</f>
        <v>11995</v>
      </c>
      <c r="D17" s="98">
        <f>IF(SUMIF('2026'!$Q$3:$Q$500,$A17,'2026'!$R$3:$R$500)=0,"",SUMIF('2026'!$Q$3:$Q$500,$A17,'2026'!$R$3:$R$500))</f>
        <v>14666</v>
      </c>
      <c r="E17" s="66">
        <f t="shared" ref="E17:E19" si="1">IFERROR(C17/B17-1,"")</f>
        <v>0.44727316602316591</v>
      </c>
      <c r="F17" s="63">
        <f>IF(D17=0,"",IFERROR(D17/C17-1,""))</f>
        <v>0.22267611504793661</v>
      </c>
    </row>
    <row r="18" spans="1:6" x14ac:dyDescent="0.3">
      <c r="A18" s="59" t="s">
        <v>82</v>
      </c>
      <c r="B18" s="62">
        <f>SUMIF('2024'!$A$3:$A$500,$A18,'2024'!$O$3:$O$500)</f>
        <v>8833</v>
      </c>
      <c r="C18" s="62">
        <f>SUMIF('2025'!$A$3:$A$500,$A18,'2025'!$O$3:$O$500)</f>
        <v>6492</v>
      </c>
      <c r="D18" s="98">
        <f>IF(SUMIF('2026'!$Q$3:$Q$500,$A18,'2026'!$R$3:$R$500)=0,"",SUMIF('2026'!$Q$3:$Q$500,$A18,'2026'!$R$3:$R$500))</f>
        <v>5123</v>
      </c>
      <c r="E18" s="66">
        <f t="shared" si="1"/>
        <v>-0.26502886901392508</v>
      </c>
      <c r="F18" s="63">
        <f t="shared" ref="F18:F28" si="2">IF(D18=0,"",IFERROR(D18/C18-1,""))</f>
        <v>-0.21087492298213184</v>
      </c>
    </row>
    <row r="19" spans="1:6" x14ac:dyDescent="0.3">
      <c r="A19" s="59" t="s">
        <v>83</v>
      </c>
      <c r="B19" s="62">
        <f>SUMIF('2024'!$A$3:$A$500,$A19,'2024'!$O$3:$O$500)</f>
        <v>11055</v>
      </c>
      <c r="C19" s="62">
        <f>SUMIF('2025'!$A$3:$A$500,$A19,'2025'!$O$3:$O$500)</f>
        <v>9243</v>
      </c>
      <c r="D19" s="98">
        <f>IF(SUMIF('2026'!$Q$3:$Q$500,$A19,'2026'!$R$3:$R$500)=0,"",SUMIF('2026'!$Q$3:$Q$500,$A19,'2026'!$R$3:$R$500))</f>
        <v>12744</v>
      </c>
      <c r="E19" s="66">
        <f t="shared" si="1"/>
        <v>-0.16390773405698777</v>
      </c>
      <c r="F19" s="63">
        <f t="shared" si="2"/>
        <v>0.37877312560856868</v>
      </c>
    </row>
    <row r="20" spans="1:6" x14ac:dyDescent="0.3">
      <c r="A20" s="59" t="s">
        <v>84</v>
      </c>
      <c r="B20" s="62">
        <f>SUMIF('2024'!$A$3:$A$500,$A20,'2024'!$O$3:$O$500)</f>
        <v>11436</v>
      </c>
      <c r="C20" s="62">
        <f>SUMIF('2025'!$A$3:$A$500,$A20,'2025'!$O$3:$O$500)</f>
        <v>11218</v>
      </c>
      <c r="D20" s="98">
        <f>IF(SUMIF('2026'!$Q$3:$Q$500,$A20,'2026'!$R$3:$R$500)=0,"",SUMIF('2026'!$Q$3:$Q$500,$A20,'2026'!$R$3:$R$500))</f>
        <v>12671</v>
      </c>
      <c r="E20" s="66">
        <f t="shared" ref="E20:E29" si="3">IFERROR(C20/B20-1,"")</f>
        <v>-1.9062609303952427E-2</v>
      </c>
      <c r="F20" s="63">
        <f t="shared" si="2"/>
        <v>0.12952397931895177</v>
      </c>
    </row>
    <row r="21" spans="1:6" x14ac:dyDescent="0.3">
      <c r="A21" s="59" t="s">
        <v>85</v>
      </c>
      <c r="B21" s="62">
        <f>SUMIF('2024'!$A$3:$A$500,$A21,'2024'!$O$3:$O$500)</f>
        <v>9569</v>
      </c>
      <c r="C21" s="62">
        <f>SUMIF('2025'!$A$3:$A$500,$A21,'2025'!$O$3:$O$500)</f>
        <v>10414</v>
      </c>
      <c r="D21" s="98">
        <f>IF(SUMIF('2026'!$Q$3:$Q$500,$A21,'2026'!$R$3:$R$500)=0,"",SUMIF('2026'!$Q$3:$Q$500,$A21,'2026'!$R$3:$R$500))</f>
        <v>10628</v>
      </c>
      <c r="E21" s="66">
        <f t="shared" si="3"/>
        <v>8.8305988086529341E-2</v>
      </c>
      <c r="F21" s="63">
        <f t="shared" si="2"/>
        <v>2.0549260610716269E-2</v>
      </c>
    </row>
    <row r="22" spans="1:6" x14ac:dyDescent="0.3">
      <c r="A22" s="59" t="s">
        <v>86</v>
      </c>
      <c r="B22" s="62">
        <f>SUMIF('2024'!$A$3:$A$500,$A22,'2024'!$O$3:$O$500)</f>
        <v>8583</v>
      </c>
      <c r="C22" s="62">
        <f>SUMIF('2025'!$A$3:$A$500,$A22,'2025'!$O$3:$O$500)</f>
        <v>11653</v>
      </c>
      <c r="D22" s="98">
        <f>IF(SUMIF('2026'!$Q$3:$Q$500,$A22,'2026'!$R$3:$R$500)=0,"",SUMIF('2026'!$Q$3:$Q$500,$A22,'2026'!$R$3:$R$500))</f>
        <v>15639</v>
      </c>
      <c r="E22" s="66">
        <f t="shared" si="3"/>
        <v>0.35768379354538049</v>
      </c>
      <c r="F22" s="63">
        <f t="shared" si="2"/>
        <v>0.34205783918304289</v>
      </c>
    </row>
    <row r="23" spans="1:6" x14ac:dyDescent="0.3">
      <c r="A23" s="59" t="s">
        <v>87</v>
      </c>
      <c r="B23" s="62">
        <f>SUMIF('2024'!$A$3:$A$500,$A23,'2024'!$O$3:$O$500)</f>
        <v>9802</v>
      </c>
      <c r="C23" s="62">
        <f>SUMIF('2025'!$A$3:$A$500,$A23,'2025'!$O$3:$O$500)</f>
        <v>8887</v>
      </c>
      <c r="D23" s="98">
        <f>IF(SUMIF('2026'!$Q$3:$Q$500,$A23,'2026'!$R$3:$R$500)=0,"",SUMIF('2026'!$Q$3:$Q$500,$A23,'2026'!$R$3:$R$500))</f>
        <v>8283</v>
      </c>
      <c r="E23" s="66">
        <f t="shared" si="3"/>
        <v>-9.3348296266068109E-2</v>
      </c>
      <c r="F23" s="63">
        <f t="shared" si="2"/>
        <v>-6.7964442444019335E-2</v>
      </c>
    </row>
    <row r="24" spans="1:6" x14ac:dyDescent="0.3">
      <c r="A24" s="59" t="s">
        <v>88</v>
      </c>
      <c r="B24" s="62">
        <f>SUMIF('2024'!$A$3:$A$500,$A24,'2024'!$O$3:$O$500)</f>
        <v>6891</v>
      </c>
      <c r="C24" s="62">
        <f>SUMIF('2025'!$A$3:$A$500,$A24,'2025'!$O$3:$O$500)</f>
        <v>8585</v>
      </c>
      <c r="D24" s="98">
        <f>IF(SUMIF('2026'!$Q$3:$Q$500,$A24,'2026'!$R$3:$R$500)=0,"",SUMIF('2026'!$Q$3:$Q$500,$A24,'2026'!$R$3:$R$500))</f>
        <v>5724</v>
      </c>
      <c r="E24" s="66">
        <f t="shared" si="3"/>
        <v>0.2458278914526193</v>
      </c>
      <c r="F24" s="63">
        <f t="shared" si="2"/>
        <v>-0.33325567850902738</v>
      </c>
    </row>
    <row r="25" spans="1:6" x14ac:dyDescent="0.3">
      <c r="A25" s="59" t="s">
        <v>89</v>
      </c>
      <c r="B25" s="62">
        <f>SUMIF('2024'!$A$3:$A$500,$A25,'2024'!$O$3:$O$500)</f>
        <v>7760</v>
      </c>
      <c r="C25" s="62">
        <f>SUMIF('2025'!$A$3:$A$500,$A25,'2025'!$O$3:$O$500)</f>
        <v>8101</v>
      </c>
      <c r="D25" s="98" t="str">
        <f>IF(SUMIF('2026'!$Q$3:$Q$500,$A25,'2026'!$R$3:$R$500)=0,"",SUMIF('2026'!$Q$3:$Q$500,$A25,'2026'!$R$3:$R$500))</f>
        <v/>
      </c>
      <c r="E25" s="66">
        <f t="shared" si="3"/>
        <v>4.3943298969072231E-2</v>
      </c>
      <c r="F25" s="63" t="str">
        <f t="shared" si="2"/>
        <v/>
      </c>
    </row>
    <row r="26" spans="1:6" x14ac:dyDescent="0.3">
      <c r="A26" s="59" t="s">
        <v>90</v>
      </c>
      <c r="B26" s="62">
        <f>SUMIF('2024'!$A$3:$A$500,$A26,'2024'!$O$3:$O$500)</f>
        <v>9141</v>
      </c>
      <c r="C26" s="62">
        <f>SUMIF('2025'!$A$3:$A$500,$A26,'2025'!$O$3:$O$500)</f>
        <v>9140</v>
      </c>
      <c r="D26" s="98" t="str">
        <f>IF(SUMIF('2026'!$Q$3:$Q$500,$A26,'2026'!$R$3:$R$500)=0,"",SUMIF('2026'!$Q$3:$Q$500,$A26,'2026'!$R$3:$R$500))</f>
        <v/>
      </c>
      <c r="E26" s="66">
        <f t="shared" si="3"/>
        <v>-1.0939722131053653E-4</v>
      </c>
      <c r="F26" s="63" t="str">
        <f t="shared" si="2"/>
        <v/>
      </c>
    </row>
    <row r="27" spans="1:6" x14ac:dyDescent="0.3">
      <c r="A27" s="59" t="s">
        <v>91</v>
      </c>
      <c r="B27" s="62">
        <f>SUMIF('2024'!$A$3:$A$500,$A27,'2024'!$O$3:$O$500)</f>
        <v>7079</v>
      </c>
      <c r="C27" s="62">
        <f>SUMIF('2025'!$A$3:$A$500,$A27,'2025'!$O$3:$O$500)</f>
        <v>10012</v>
      </c>
      <c r="D27" s="98" t="str">
        <f>IF(SUMIF('2026'!$Q$3:$Q$500,$A27,'2026'!$R$3:$R$500)=0,"",SUMIF('2026'!$Q$3:$Q$500,$A27,'2026'!$R$3:$R$500))</f>
        <v/>
      </c>
      <c r="E27" s="66">
        <f t="shared" si="3"/>
        <v>0.41432405707020759</v>
      </c>
      <c r="F27" s="63" t="str">
        <f t="shared" si="2"/>
        <v/>
      </c>
    </row>
    <row r="28" spans="1:6" x14ac:dyDescent="0.3">
      <c r="A28" s="59" t="s">
        <v>92</v>
      </c>
      <c r="B28" s="62">
        <f>SUMIF('2024'!$A$3:$A$500,$A28,'2024'!$O$3:$O$500)</f>
        <v>9633</v>
      </c>
      <c r="C28" s="62">
        <f>SUMIF('2025'!$A$3:$A$500,$A28,'2025'!$O$3:$O$500)</f>
        <v>7860</v>
      </c>
      <c r="D28" s="98" t="str">
        <f>IF(SUMIF('2026'!$Q$3:$Q$500,$A28,'2026'!$R$3:$R$500)=0,"",SUMIF('2026'!$Q$3:$Q$500,$A28,'2026'!$R$3:$R$500))</f>
        <v/>
      </c>
      <c r="E28" s="66">
        <f t="shared" si="3"/>
        <v>-0.184054811585176</v>
      </c>
      <c r="F28" s="67" t="str">
        <f t="shared" si="2"/>
        <v/>
      </c>
    </row>
    <row r="29" spans="1:6" x14ac:dyDescent="0.3">
      <c r="A29" s="61" t="s">
        <v>93</v>
      </c>
      <c r="B29" s="68">
        <f>SUM(B17:B28)</f>
        <v>108070</v>
      </c>
      <c r="C29" s="68">
        <f>SUM(C17:C28)</f>
        <v>113600</v>
      </c>
      <c r="D29" s="68">
        <f>SUM(D17:D28)</f>
        <v>85478</v>
      </c>
      <c r="E29" s="69">
        <f t="shared" si="3"/>
        <v>5.1170537614509071E-2</v>
      </c>
      <c r="F29" s="70"/>
    </row>
    <row r="30" spans="1:6" x14ac:dyDescent="0.3">
      <c r="A30" s="54"/>
      <c r="B30" s="54"/>
      <c r="C30" s="54"/>
      <c r="D30" s="54"/>
      <c r="E30" s="54"/>
      <c r="F30" s="54"/>
    </row>
    <row r="31" spans="1:6" x14ac:dyDescent="0.3">
      <c r="A31" s="119" t="s">
        <v>94</v>
      </c>
      <c r="B31" s="119"/>
      <c r="C31" s="119"/>
      <c r="D31" s="119"/>
      <c r="E31" s="119"/>
      <c r="F31" s="119"/>
    </row>
    <row r="32" spans="1:6" x14ac:dyDescent="0.3">
      <c r="A32" s="58" t="s">
        <v>95</v>
      </c>
      <c r="B32" s="75" t="s">
        <v>96</v>
      </c>
      <c r="C32" s="75" t="s">
        <v>97</v>
      </c>
      <c r="D32" s="75" t="s">
        <v>98</v>
      </c>
      <c r="E32" s="75" t="s">
        <v>66</v>
      </c>
      <c r="F32" s="76" t="s">
        <v>99</v>
      </c>
    </row>
    <row r="33" spans="1:6" x14ac:dyDescent="0.3">
      <c r="A33" s="59" t="s">
        <v>9</v>
      </c>
      <c r="B33" s="62">
        <f>COUNTIF('2024'!$D$3:$D$500,$A33)</f>
        <v>23</v>
      </c>
      <c r="C33" s="62">
        <f>COUNTIF('2025'!$D$3:$D$500,$A33)</f>
        <v>17</v>
      </c>
      <c r="D33" s="62">
        <f>COUNTIF('2026'!$D$3:$D$500,$A33)</f>
        <v>15</v>
      </c>
      <c r="E33" s="62">
        <f>SUMIF('2026'!$D$3:$D$500,$A33,'2026'!$R$3:$R$500)</f>
        <v>14758</v>
      </c>
      <c r="F33" s="71">
        <f>IFERROR(E33/$E$37,"")</f>
        <v>0.1726526123680947</v>
      </c>
    </row>
    <row r="34" spans="1:6" x14ac:dyDescent="0.3">
      <c r="A34" s="59" t="s">
        <v>2</v>
      </c>
      <c r="B34" s="62">
        <f>COUNTIF('2024'!$D$3:$D$500,$A34)</f>
        <v>42</v>
      </c>
      <c r="C34" s="62">
        <f>COUNTIF('2025'!$D$3:$D$500,$A34)</f>
        <v>43</v>
      </c>
      <c r="D34" s="62">
        <f>COUNTIF('2026'!$D$3:$D$500,$A34)</f>
        <v>31</v>
      </c>
      <c r="E34" s="62">
        <f>SUMIF('2026'!$D$3:$D$500,$A34,'2026'!$R$3:$R$500)</f>
        <v>43512</v>
      </c>
      <c r="F34" s="71">
        <f>IFERROR(E34/$E$37,"")</f>
        <v>0.50904326259388377</v>
      </c>
    </row>
    <row r="35" spans="1:6" x14ac:dyDescent="0.3">
      <c r="A35" s="59" t="s">
        <v>5</v>
      </c>
      <c r="B35" s="62">
        <f>COUNTIF('2024'!$D$3:$D$500,$A35)</f>
        <v>21</v>
      </c>
      <c r="C35" s="62">
        <f>COUNTIF('2025'!$D$3:$D$500,$A35)</f>
        <v>27</v>
      </c>
      <c r="D35" s="62">
        <f>COUNTIF('2026'!$D$3:$D$500,$A35)</f>
        <v>20</v>
      </c>
      <c r="E35" s="62">
        <f>SUMIF('2026'!$D$3:$D$500,$A35,'2026'!$R$3:$R$500)</f>
        <v>18781</v>
      </c>
      <c r="F35" s="71">
        <f>IFERROR(E35/$E$37,"")</f>
        <v>0.21971735417300359</v>
      </c>
    </row>
    <row r="36" spans="1:6" x14ac:dyDescent="0.3">
      <c r="A36" s="59" t="s">
        <v>13</v>
      </c>
      <c r="B36" s="62">
        <f>COUNTIF('2024'!$D$3:$D$500,$A36)</f>
        <v>16</v>
      </c>
      <c r="C36" s="62">
        <f>COUNTIF('2025'!$D$3:$D$500,$A36)</f>
        <v>14</v>
      </c>
      <c r="D36" s="62">
        <f>COUNTIF('2026'!$D$3:$D$500,$A36)</f>
        <v>8</v>
      </c>
      <c r="E36" s="62">
        <f>SUMIF('2026'!$D$3:$D$500,$A36,'2026'!$R$3:$R$500)</f>
        <v>8427</v>
      </c>
      <c r="F36" s="71">
        <f>IFERROR(E36/$E$37,"")</f>
        <v>9.8586770865017895E-2</v>
      </c>
    </row>
    <row r="37" spans="1:6" x14ac:dyDescent="0.3">
      <c r="A37" s="61" t="s">
        <v>93</v>
      </c>
      <c r="B37" s="68">
        <f>SUM(B33:B36)</f>
        <v>102</v>
      </c>
      <c r="C37" s="68">
        <f>SUM(C33:C36)</f>
        <v>101</v>
      </c>
      <c r="D37" s="68">
        <f>SUM(D33:D36)</f>
        <v>74</v>
      </c>
      <c r="E37" s="68">
        <f>SUM(E33:E36)</f>
        <v>85478</v>
      </c>
      <c r="F37" s="72">
        <f>IFERROR(E37/$E$37,"")</f>
        <v>1</v>
      </c>
    </row>
    <row r="38" spans="1:6" x14ac:dyDescent="0.3">
      <c r="A38" s="54"/>
      <c r="B38" s="54"/>
      <c r="C38" s="54"/>
      <c r="D38" s="54"/>
      <c r="E38" s="54"/>
      <c r="F38" s="54"/>
    </row>
    <row r="39" spans="1:6" x14ac:dyDescent="0.3">
      <c r="A39" s="54"/>
      <c r="B39" s="54"/>
      <c r="C39" s="54"/>
      <c r="D39" s="54"/>
      <c r="E39" s="54"/>
      <c r="F39" s="54"/>
    </row>
    <row r="40" spans="1:6" ht="15.65" thickBot="1" x14ac:dyDescent="0.35">
      <c r="A40" s="119" t="s">
        <v>100</v>
      </c>
      <c r="B40" s="119"/>
      <c r="C40" s="119"/>
      <c r="D40" s="119"/>
      <c r="E40" s="120"/>
      <c r="F40" s="120"/>
    </row>
    <row r="41" spans="1:6" x14ac:dyDescent="0.3">
      <c r="A41" s="58" t="s">
        <v>101</v>
      </c>
      <c r="B41" s="75">
        <v>2024</v>
      </c>
      <c r="C41" s="75">
        <v>2025</v>
      </c>
      <c r="D41" s="76">
        <v>2026</v>
      </c>
      <c r="E41" s="57"/>
      <c r="F41" s="57"/>
    </row>
    <row r="42" spans="1:6" x14ac:dyDescent="0.3">
      <c r="A42" s="59" t="s">
        <v>102</v>
      </c>
      <c r="B42" s="62">
        <f>SUMIF('2024'!$E$3:$E$500,"&gt;0",'2024'!G$3:G$500)</f>
        <v>18100</v>
      </c>
      <c r="C42" s="62">
        <f>SUMIF('2025'!$E$3:$E$500,"&gt;0",'2025'!G$3:G$500)</f>
        <v>16405</v>
      </c>
      <c r="D42" s="73">
        <f>SUMIF('2026'!$E$3:$E$500,"&gt;0",'2026'!G$3:G$500)</f>
        <v>12186</v>
      </c>
      <c r="E42" s="99"/>
      <c r="F42" s="99"/>
    </row>
    <row r="43" spans="1:6" x14ac:dyDescent="0.3">
      <c r="A43" s="59" t="s">
        <v>103</v>
      </c>
      <c r="B43" s="62">
        <f>2*SUMIF('2024'!$E$3:$E$500,"&gt;0",'2024'!H$3:H$500)</f>
        <v>35738</v>
      </c>
      <c r="C43" s="62">
        <f>2*SUMIF('2025'!$E$3:$E$500,"&gt;0",'2025'!H$3:H$500)</f>
        <v>40646</v>
      </c>
      <c r="D43" s="73">
        <f>2*SUMIF('2026'!$E$3:$E$500,"&gt;0",'2026'!H$3:H$500)</f>
        <v>31066</v>
      </c>
      <c r="E43" s="99"/>
      <c r="F43" s="99"/>
    </row>
    <row r="44" spans="1:6" x14ac:dyDescent="0.3">
      <c r="A44" s="59" t="s">
        <v>104</v>
      </c>
      <c r="B44" s="62">
        <f>SUMIF('2024'!$E$3:$E$500,"&gt;0",'2024'!I$3:I$500)</f>
        <v>3406</v>
      </c>
      <c r="C44" s="62">
        <f>SUMIF('2025'!$E$3:$E$500,"&gt;0",'2025'!I$3:I$500)</f>
        <v>3250</v>
      </c>
      <c r="D44" s="73">
        <f>SUMIF('2026'!$E$3:$E$500,"&gt;0",'2026'!I$3:I$500)</f>
        <v>2668</v>
      </c>
      <c r="E44" s="99"/>
      <c r="F44" s="99"/>
    </row>
    <row r="45" spans="1:6" x14ac:dyDescent="0.3">
      <c r="A45" s="59" t="s">
        <v>105</v>
      </c>
      <c r="B45" s="62">
        <f>2*SUMIF('2024'!$E$3:$E$500,"&gt;0",'2024'!J$3:J$500)</f>
        <v>6266</v>
      </c>
      <c r="C45" s="62">
        <f>2*SUMIF('2025'!$E$3:$E$500,"&gt;0",'2025'!J$3:J$500)</f>
        <v>8306</v>
      </c>
      <c r="D45" s="73">
        <f>2*SUMIF('2026'!$E$3:$E$500,"&gt;0",'2026'!J$3:J$500)</f>
        <v>8748</v>
      </c>
      <c r="E45" s="99"/>
      <c r="F45" s="99"/>
    </row>
    <row r="46" spans="1:6" x14ac:dyDescent="0.3">
      <c r="A46" s="59" t="s">
        <v>106</v>
      </c>
      <c r="B46" s="62">
        <f>SUMIF('2024'!$E$3:$E$500,"&gt;0",'2024'!K$3:K$500)</f>
        <v>14544</v>
      </c>
      <c r="C46" s="62">
        <f>SUMIF('2025'!$E$3:$E$500,"&gt;0",'2025'!K$3:K$500)</f>
        <v>13231</v>
      </c>
      <c r="D46" s="73">
        <f>SUMIF('2026'!$E$3:$E$500,"&gt;0",'2026'!K$3:K$500)</f>
        <v>9220</v>
      </c>
      <c r="E46" s="99"/>
      <c r="F46" s="99"/>
    </row>
    <row r="47" spans="1:6" x14ac:dyDescent="0.3">
      <c r="A47" s="59" t="s">
        <v>107</v>
      </c>
      <c r="B47" s="62">
        <f>2*SUMIF('2024'!$E$3:$E$500,"&gt;0",'2024'!L$3:L$500)</f>
        <v>30016</v>
      </c>
      <c r="C47" s="62">
        <f>2*SUMIF('2025'!$E$3:$E$500,"&gt;0",'2025'!L$3:L$500)</f>
        <v>31762</v>
      </c>
      <c r="D47" s="73">
        <f>2*SUMIF('2026'!$E$3:$E$500,"&gt;0",'2026'!L$3:L$500)</f>
        <v>21590</v>
      </c>
      <c r="E47" s="99"/>
      <c r="F47" s="99"/>
    </row>
    <row r="48" spans="1:6" x14ac:dyDescent="0.3">
      <c r="A48" s="61" t="s">
        <v>93</v>
      </c>
      <c r="B48" s="68">
        <f>SUM(B42:B47)</f>
        <v>108070</v>
      </c>
      <c r="C48" s="68">
        <f>SUM(C42:C47)</f>
        <v>113600</v>
      </c>
      <c r="D48" s="74">
        <f>SUM(D42:D47)</f>
        <v>85478</v>
      </c>
      <c r="E48" s="100"/>
      <c r="F48" s="100"/>
    </row>
    <row r="50" spans="1:6" x14ac:dyDescent="0.3">
      <c r="A50" s="116" t="s">
        <v>108</v>
      </c>
      <c r="B50" s="116"/>
      <c r="C50" s="116"/>
      <c r="D50" s="116"/>
      <c r="E50" s="116"/>
      <c r="F50" s="116"/>
    </row>
    <row r="51" spans="1:6" x14ac:dyDescent="0.3">
      <c r="A51" s="55" t="s">
        <v>109</v>
      </c>
    </row>
    <row r="52" spans="1:6" x14ac:dyDescent="0.3">
      <c r="A52" s="56" t="str">
        <f>A33</f>
        <v>CMA</v>
      </c>
      <c r="B52" s="101">
        <f>E33</f>
        <v>14758</v>
      </c>
    </row>
    <row r="53" spans="1:6" x14ac:dyDescent="0.3">
      <c r="A53" s="56" t="str">
        <f>A34</f>
        <v>MAE</v>
      </c>
      <c r="B53" s="101">
        <f>E34</f>
        <v>43512</v>
      </c>
    </row>
    <row r="54" spans="1:6" x14ac:dyDescent="0.3">
      <c r="A54" s="56" t="str">
        <f>A35</f>
        <v>MSC</v>
      </c>
      <c r="B54" s="101">
        <f>E35</f>
        <v>18781</v>
      </c>
    </row>
    <row r="55" spans="1:6" x14ac:dyDescent="0.3">
      <c r="A55" s="56" t="str">
        <f>A36</f>
        <v>OBT</v>
      </c>
      <c r="B55" s="101">
        <f>E36</f>
        <v>8427</v>
      </c>
    </row>
  </sheetData>
  <mergeCells count="7">
    <mergeCell ref="A50:F50"/>
    <mergeCell ref="A1:F1"/>
    <mergeCell ref="A2:F2"/>
    <mergeCell ref="A4:F4"/>
    <mergeCell ref="A15:F15"/>
    <mergeCell ref="A31:F31"/>
    <mergeCell ref="A40:F40"/>
  </mergeCells>
  <conditionalFormatting sqref="C17:C28">
    <cfRule type="dataBar" priority="7">
      <dataBar>
        <cfvo type="min"/>
        <cfvo type="max"/>
        <color rgb="FFB8CCE4"/>
      </dataBar>
      <extLst>
        <ext xmlns:x14="http://schemas.microsoft.com/office/spreadsheetml/2009/9/main" uri="{B025F937-C7B1-47D3-B67F-A62EFF666E3E}">
          <x14:id>{6F151802-543A-488F-9B7F-5FDB99DB5853}</x14:id>
        </ext>
      </extLst>
    </cfRule>
  </conditionalFormatting>
  <conditionalFormatting sqref="E6:E12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E17:E29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F17:F27">
    <cfRule type="cellIs" dxfId="1" priority="5" operator="greaterThan">
      <formula>0</formula>
    </cfRule>
    <cfRule type="cellIs" dxfId="0" priority="6" operator="lessThan">
      <formula>0</formula>
    </cfRule>
  </conditionalFormatting>
  <conditionalFormatting sqref="F33:F36">
    <cfRule type="dataBar" priority="8">
      <dataBar>
        <cfvo type="min"/>
        <cfvo type="max"/>
        <color rgb="FF8FAADC"/>
      </dataBar>
      <extLst>
        <ext xmlns:x14="http://schemas.microsoft.com/office/spreadsheetml/2009/9/main" uri="{B025F937-C7B1-47D3-B67F-A62EFF666E3E}">
          <x14:id>{97DB44F8-1C93-465F-8691-AF21A6855248}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151802-543A-488F-9B7F-5FDB99DB5853}">
            <x14:dataBar minLength="0" maxLength="100" gradient="0" direction="leftToRight" negativeBarColorSameAsPositive="1" axisPosition="none">
              <x14:cfvo type="min"/>
              <x14:cfvo type="max"/>
            </x14:dataBar>
          </x14:cfRule>
          <xm:sqref>C17:C28</xm:sqref>
        </x14:conditionalFormatting>
        <x14:conditionalFormatting xmlns:xm="http://schemas.microsoft.com/office/excel/2006/main">
          <x14:cfRule type="dataBar" id="{97DB44F8-1C93-465F-8691-AF21A6855248}">
            <x14:dataBar minLength="0" maxLength="100" gradient="0" direction="leftToRight" negativeBarColorSameAsPositive="1" axisPosition="none">
              <x14:cfvo type="min"/>
              <x14:cfvo type="max"/>
            </x14:dataBar>
          </x14:cfRule>
          <xm:sqref>F33:F36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C9B9-6197-46B7-A3B4-CB99D56656D8}">
  <sheetPr>
    <pageSetUpPr fitToPage="1"/>
  </sheetPr>
  <dimension ref="A1:W500"/>
  <sheetViews>
    <sheetView tabSelected="1" workbookViewId="0">
      <pane xSplit="1" ySplit="2" topLeftCell="B61" activePane="bottomRight" state="frozen"/>
      <selection pane="topRight" activeCell="B1" sqref="B1"/>
      <selection pane="bottomLeft" activeCell="A3" sqref="A3"/>
      <selection pane="bottomRight" activeCell="O81" sqref="O81"/>
    </sheetView>
  </sheetViews>
  <sheetFormatPr defaultRowHeight="15.05" x14ac:dyDescent="0.3"/>
  <cols>
    <col min="1" max="1" width="3.88671875" style="4" customWidth="1"/>
    <col min="2" max="2" width="5" style="5" customWidth="1"/>
    <col min="3" max="3" width="26.6640625" style="2" customWidth="1"/>
    <col min="4" max="4" width="7.77734375" style="2" customWidth="1"/>
    <col min="5" max="6" width="13.109375" style="2" customWidth="1"/>
    <col min="7" max="12" width="7.109375" style="2" customWidth="1"/>
    <col min="13" max="14" width="11.33203125" style="6" customWidth="1"/>
    <col min="15" max="15" width="14.21875" style="6" customWidth="1"/>
    <col min="16" max="16" width="14.21875" style="2" customWidth="1"/>
    <col min="17" max="17" width="8.88671875" style="2" customWidth="1"/>
    <col min="18" max="18" width="15.21875" style="2" bestFit="1" customWidth="1"/>
    <col min="19" max="16384" width="8.88671875" style="2"/>
  </cols>
  <sheetData>
    <row r="1" spans="1:23" customFormat="1" x14ac:dyDescent="0.3">
      <c r="A1" s="135" t="s">
        <v>80</v>
      </c>
      <c r="B1" s="131" t="s">
        <v>0</v>
      </c>
      <c r="C1" s="131" t="s">
        <v>110</v>
      </c>
      <c r="D1" s="131" t="s">
        <v>95</v>
      </c>
      <c r="E1" s="131" t="s">
        <v>111</v>
      </c>
      <c r="F1" s="131" t="s">
        <v>112</v>
      </c>
      <c r="G1" s="131" t="s">
        <v>113</v>
      </c>
      <c r="H1" s="131"/>
      <c r="I1" s="131" t="s">
        <v>114</v>
      </c>
      <c r="J1" s="131"/>
      <c r="K1" s="131" t="s">
        <v>115</v>
      </c>
      <c r="L1" s="131"/>
      <c r="M1" s="131" t="s">
        <v>116</v>
      </c>
      <c r="N1" s="131" t="s">
        <v>117</v>
      </c>
      <c r="O1" s="133" t="s">
        <v>118</v>
      </c>
      <c r="P1" s="121" t="s">
        <v>79</v>
      </c>
      <c r="Q1" s="103" t="s">
        <v>119</v>
      </c>
      <c r="R1" s="103" t="s">
        <v>120</v>
      </c>
      <c r="S1" s="103" t="s">
        <v>121</v>
      </c>
      <c r="T1" s="2"/>
      <c r="U1" s="2"/>
      <c r="V1" s="2"/>
      <c r="W1" s="2"/>
    </row>
    <row r="2" spans="1:23" customFormat="1" ht="15.65" thickBot="1" x14ac:dyDescent="0.35">
      <c r="A2" s="136"/>
      <c r="B2" s="132"/>
      <c r="C2" s="132"/>
      <c r="D2" s="132"/>
      <c r="E2" s="132"/>
      <c r="F2" s="132"/>
      <c r="G2" s="77">
        <v>20</v>
      </c>
      <c r="H2" s="78">
        <v>40</v>
      </c>
      <c r="I2" s="77">
        <v>20</v>
      </c>
      <c r="J2" s="78">
        <v>40</v>
      </c>
      <c r="K2" s="77">
        <v>20</v>
      </c>
      <c r="L2" s="78">
        <v>40</v>
      </c>
      <c r="M2" s="132"/>
      <c r="N2" s="132"/>
      <c r="O2" s="134"/>
      <c r="P2" s="122"/>
      <c r="Q2" s="104"/>
      <c r="R2" s="105"/>
      <c r="S2" s="105"/>
      <c r="T2" s="2"/>
      <c r="U2" s="2"/>
      <c r="V2" s="2"/>
      <c r="W2" s="2"/>
    </row>
    <row r="3" spans="1:23" customFormat="1" ht="14.4" customHeight="1" x14ac:dyDescent="0.3">
      <c r="A3" s="123" t="s">
        <v>81</v>
      </c>
      <c r="B3" s="125">
        <f>COUNTA(C3:C15)</f>
        <v>13</v>
      </c>
      <c r="C3" s="80" t="s">
        <v>23</v>
      </c>
      <c r="D3" s="81" t="s">
        <v>2</v>
      </c>
      <c r="E3" s="82">
        <v>46022.956250000003</v>
      </c>
      <c r="F3" s="82">
        <v>46027.493055555555</v>
      </c>
      <c r="G3" s="83">
        <v>197</v>
      </c>
      <c r="H3" s="83">
        <v>125</v>
      </c>
      <c r="I3" s="83">
        <v>42</v>
      </c>
      <c r="J3" s="83">
        <v>77</v>
      </c>
      <c r="K3" s="83">
        <v>32</v>
      </c>
      <c r="L3" s="83">
        <v>156</v>
      </c>
      <c r="M3" s="83">
        <v>8</v>
      </c>
      <c r="N3" s="83">
        <f t="shared" ref="N3:N71" si="0">G3+H3*2+I3+J3*2+K3+L3*2</f>
        <v>987</v>
      </c>
      <c r="O3" s="91">
        <f t="shared" ref="O3:O37" si="1">SUM(G3:L3)</f>
        <v>629</v>
      </c>
      <c r="P3" s="43">
        <f>SUM(N3:N15)</f>
        <v>14666</v>
      </c>
      <c r="Q3" s="104" t="str">
        <f>IF($A3&lt;&gt;"",$A3,Q2)</f>
        <v>January</v>
      </c>
      <c r="R3" s="106">
        <f>IF($E3&gt;0,$G3+2*$H3+$I3+2*$J3+$K3+2*$L3,0)</f>
        <v>987</v>
      </c>
      <c r="S3" s="106">
        <f>IF($E3&gt;0,SUM($G3:$L3),0)</f>
        <v>629</v>
      </c>
      <c r="T3" s="2"/>
      <c r="U3" s="2"/>
      <c r="V3" s="2"/>
      <c r="W3" s="2"/>
    </row>
    <row r="4" spans="1:23" customFormat="1" x14ac:dyDescent="0.3">
      <c r="A4" s="124"/>
      <c r="B4" s="126"/>
      <c r="C4" s="79" t="s">
        <v>58</v>
      </c>
      <c r="D4" s="9" t="s">
        <v>2</v>
      </c>
      <c r="E4" s="10">
        <v>46021.98333333333</v>
      </c>
      <c r="F4" s="10">
        <v>46023.758333333331</v>
      </c>
      <c r="G4" s="11">
        <v>122</v>
      </c>
      <c r="H4" s="11">
        <v>492</v>
      </c>
      <c r="I4" s="11">
        <v>0</v>
      </c>
      <c r="J4" s="11">
        <v>0</v>
      </c>
      <c r="K4" s="11">
        <v>0</v>
      </c>
      <c r="L4" s="11">
        <v>1</v>
      </c>
      <c r="M4" s="11">
        <v>35</v>
      </c>
      <c r="N4" s="11">
        <f t="shared" si="0"/>
        <v>1108</v>
      </c>
      <c r="O4" s="92">
        <f t="shared" si="1"/>
        <v>615</v>
      </c>
      <c r="P4" s="40"/>
      <c r="Q4" s="104" t="str">
        <f t="shared" ref="Q4:Q67" si="2">IF($A4&lt;&gt;"",$A4,Q3)</f>
        <v>January</v>
      </c>
      <c r="R4" s="106">
        <f t="shared" ref="R4:R67" si="3">IF($E4&gt;0,$G4+2*$H4+$I4+2*$J4+$K4+2*$L4,0)</f>
        <v>1108</v>
      </c>
      <c r="S4" s="106">
        <f t="shared" ref="S4:S67" si="4">IF($E4&gt;0,SUM($G4:$L4),0)</f>
        <v>615</v>
      </c>
      <c r="T4" s="2"/>
      <c r="U4" s="2"/>
      <c r="V4" s="2"/>
      <c r="W4" s="2"/>
    </row>
    <row r="5" spans="1:23" customFormat="1" ht="14.4" customHeight="1" x14ac:dyDescent="0.3">
      <c r="A5" s="124"/>
      <c r="B5" s="126"/>
      <c r="C5" s="79" t="s">
        <v>25</v>
      </c>
      <c r="D5" s="9" t="s">
        <v>9</v>
      </c>
      <c r="E5" s="10">
        <v>46027.574999999997</v>
      </c>
      <c r="F5" s="10">
        <v>46030.613194444442</v>
      </c>
      <c r="G5" s="11">
        <v>109</v>
      </c>
      <c r="H5" s="11">
        <v>148</v>
      </c>
      <c r="I5" s="11">
        <v>31</v>
      </c>
      <c r="J5" s="11">
        <v>53</v>
      </c>
      <c r="K5" s="11">
        <v>106</v>
      </c>
      <c r="L5" s="11">
        <v>89</v>
      </c>
      <c r="M5" s="11">
        <v>14</v>
      </c>
      <c r="N5" s="11">
        <f t="shared" si="0"/>
        <v>826</v>
      </c>
      <c r="O5" s="92">
        <f t="shared" si="1"/>
        <v>536</v>
      </c>
      <c r="P5" s="40"/>
      <c r="Q5" s="104" t="str">
        <f t="shared" si="2"/>
        <v>January</v>
      </c>
      <c r="R5" s="106">
        <f t="shared" si="3"/>
        <v>826</v>
      </c>
      <c r="S5" s="106">
        <f t="shared" si="4"/>
        <v>536</v>
      </c>
      <c r="T5" s="2"/>
      <c r="U5" s="2"/>
      <c r="V5" s="2"/>
      <c r="W5" s="2"/>
    </row>
    <row r="6" spans="1:23" customFormat="1" x14ac:dyDescent="0.3">
      <c r="A6" s="124"/>
      <c r="B6" s="126"/>
      <c r="C6" s="79" t="s">
        <v>24</v>
      </c>
      <c r="D6" s="9" t="s">
        <v>5</v>
      </c>
      <c r="E6" s="10">
        <v>46027.990277777775</v>
      </c>
      <c r="F6" s="10">
        <v>46031.038888888892</v>
      </c>
      <c r="G6" s="11">
        <v>205</v>
      </c>
      <c r="H6" s="11">
        <v>154</v>
      </c>
      <c r="I6" s="11">
        <v>9</v>
      </c>
      <c r="J6" s="11">
        <v>8</v>
      </c>
      <c r="K6" s="11">
        <v>280</v>
      </c>
      <c r="L6" s="11">
        <v>174</v>
      </c>
      <c r="M6" s="11">
        <v>0</v>
      </c>
      <c r="N6" s="11">
        <f t="shared" si="0"/>
        <v>1166</v>
      </c>
      <c r="O6" s="92">
        <f t="shared" si="1"/>
        <v>830</v>
      </c>
      <c r="P6" s="40"/>
      <c r="Q6" s="104" t="str">
        <f t="shared" si="2"/>
        <v>January</v>
      </c>
      <c r="R6" s="106">
        <f t="shared" si="3"/>
        <v>1166</v>
      </c>
      <c r="S6" s="106">
        <f t="shared" si="4"/>
        <v>830</v>
      </c>
      <c r="T6" s="2"/>
      <c r="U6" s="2"/>
      <c r="V6" s="2"/>
      <c r="W6" s="2"/>
    </row>
    <row r="7" spans="1:23" x14ac:dyDescent="0.3">
      <c r="A7" s="124"/>
      <c r="B7" s="126"/>
      <c r="C7" s="79" t="s">
        <v>57</v>
      </c>
      <c r="D7" s="9" t="s">
        <v>2</v>
      </c>
      <c r="E7" s="10">
        <v>46031.133333333331</v>
      </c>
      <c r="F7" s="10">
        <v>46035.620833333334</v>
      </c>
      <c r="G7" s="11">
        <v>84</v>
      </c>
      <c r="H7" s="11">
        <v>408</v>
      </c>
      <c r="I7" s="11">
        <v>119</v>
      </c>
      <c r="J7" s="11">
        <v>196</v>
      </c>
      <c r="K7" s="11">
        <v>109</v>
      </c>
      <c r="L7" s="11">
        <v>164</v>
      </c>
      <c r="M7" s="11">
        <v>28</v>
      </c>
      <c r="N7" s="11">
        <f t="shared" si="0"/>
        <v>1848</v>
      </c>
      <c r="O7" s="92">
        <f t="shared" si="1"/>
        <v>1080</v>
      </c>
      <c r="P7" s="40"/>
      <c r="Q7" s="104" t="str">
        <f t="shared" si="2"/>
        <v>January</v>
      </c>
      <c r="R7" s="106">
        <f t="shared" si="3"/>
        <v>1848</v>
      </c>
      <c r="S7" s="106">
        <f t="shared" si="4"/>
        <v>1080</v>
      </c>
    </row>
    <row r="8" spans="1:23" customFormat="1" x14ac:dyDescent="0.3">
      <c r="A8" s="124"/>
      <c r="B8" s="126"/>
      <c r="C8" s="79" t="s">
        <v>14</v>
      </c>
      <c r="D8" s="9" t="s">
        <v>9</v>
      </c>
      <c r="E8" s="10">
        <v>46035.621527777781</v>
      </c>
      <c r="F8" s="10">
        <v>46038.09375</v>
      </c>
      <c r="G8" s="11">
        <v>208</v>
      </c>
      <c r="H8" s="11">
        <v>228</v>
      </c>
      <c r="I8" s="11">
        <v>2</v>
      </c>
      <c r="J8" s="11">
        <v>38</v>
      </c>
      <c r="K8" s="11">
        <v>158</v>
      </c>
      <c r="L8" s="11">
        <v>189</v>
      </c>
      <c r="M8" s="11">
        <v>22</v>
      </c>
      <c r="N8" s="11">
        <f t="shared" si="0"/>
        <v>1278</v>
      </c>
      <c r="O8" s="92">
        <f t="shared" si="1"/>
        <v>823</v>
      </c>
      <c r="P8" s="40"/>
      <c r="Q8" s="104" t="str">
        <f t="shared" si="2"/>
        <v>January</v>
      </c>
      <c r="R8" s="106">
        <f t="shared" si="3"/>
        <v>1278</v>
      </c>
      <c r="S8" s="106">
        <f t="shared" si="4"/>
        <v>823</v>
      </c>
      <c r="T8" s="2"/>
      <c r="U8" s="2"/>
      <c r="V8" s="2"/>
      <c r="W8" s="2"/>
    </row>
    <row r="9" spans="1:23" x14ac:dyDescent="0.3">
      <c r="A9" s="124"/>
      <c r="B9" s="126"/>
      <c r="C9" s="79" t="s">
        <v>52</v>
      </c>
      <c r="D9" s="9" t="s">
        <v>13</v>
      </c>
      <c r="E9" s="10">
        <v>46038.15625</v>
      </c>
      <c r="F9" s="10">
        <v>46040.116666666669</v>
      </c>
      <c r="G9" s="11">
        <v>72</v>
      </c>
      <c r="H9" s="11">
        <v>168</v>
      </c>
      <c r="I9" s="11">
        <v>1</v>
      </c>
      <c r="J9" s="11">
        <v>7</v>
      </c>
      <c r="K9" s="11">
        <v>74</v>
      </c>
      <c r="L9" s="11">
        <v>187</v>
      </c>
      <c r="M9" s="11">
        <v>14</v>
      </c>
      <c r="N9" s="11">
        <f t="shared" si="0"/>
        <v>871</v>
      </c>
      <c r="O9" s="92">
        <f t="shared" si="1"/>
        <v>509</v>
      </c>
      <c r="P9" s="40"/>
      <c r="Q9" s="104" t="str">
        <f t="shared" si="2"/>
        <v>January</v>
      </c>
      <c r="R9" s="106">
        <f t="shared" si="3"/>
        <v>871</v>
      </c>
      <c r="S9" s="106">
        <f t="shared" si="4"/>
        <v>509</v>
      </c>
    </row>
    <row r="10" spans="1:23" customFormat="1" x14ac:dyDescent="0.3">
      <c r="A10" s="124"/>
      <c r="B10" s="126"/>
      <c r="C10" s="79" t="s">
        <v>24</v>
      </c>
      <c r="D10" s="9" t="s">
        <v>5</v>
      </c>
      <c r="E10" s="10">
        <v>46040.371527777781</v>
      </c>
      <c r="F10" s="10">
        <v>46043.484722222223</v>
      </c>
      <c r="G10" s="11">
        <v>237</v>
      </c>
      <c r="H10" s="11">
        <v>155</v>
      </c>
      <c r="I10" s="11">
        <v>4</v>
      </c>
      <c r="J10" s="11">
        <v>10</v>
      </c>
      <c r="K10" s="11">
        <v>155</v>
      </c>
      <c r="L10" s="11">
        <v>120</v>
      </c>
      <c r="M10" s="11">
        <v>0</v>
      </c>
      <c r="N10" s="11">
        <f t="shared" si="0"/>
        <v>966</v>
      </c>
      <c r="O10" s="92">
        <f t="shared" si="1"/>
        <v>681</v>
      </c>
      <c r="P10" s="40"/>
      <c r="Q10" s="104" t="str">
        <f t="shared" si="2"/>
        <v>January</v>
      </c>
      <c r="R10" s="106">
        <f t="shared" si="3"/>
        <v>966</v>
      </c>
      <c r="S10" s="106">
        <f t="shared" si="4"/>
        <v>681</v>
      </c>
      <c r="T10" s="2"/>
      <c r="U10" s="2"/>
      <c r="V10" s="2"/>
      <c r="W10" s="2"/>
    </row>
    <row r="11" spans="1:23" customFormat="1" x14ac:dyDescent="0.3">
      <c r="A11" s="124"/>
      <c r="B11" s="126"/>
      <c r="C11" s="79" t="s">
        <v>16</v>
      </c>
      <c r="D11" s="9" t="s">
        <v>2</v>
      </c>
      <c r="E11" s="10">
        <v>46039.569444444445</v>
      </c>
      <c r="F11" s="10">
        <v>46043.313888888886</v>
      </c>
      <c r="G11" s="11">
        <v>212</v>
      </c>
      <c r="H11" s="11">
        <v>198</v>
      </c>
      <c r="I11" s="11">
        <v>32</v>
      </c>
      <c r="J11" s="11">
        <v>103</v>
      </c>
      <c r="K11" s="11">
        <v>258</v>
      </c>
      <c r="L11" s="11">
        <v>178</v>
      </c>
      <c r="M11" s="11">
        <v>26</v>
      </c>
      <c r="N11" s="11">
        <f t="shared" si="0"/>
        <v>1460</v>
      </c>
      <c r="O11" s="92">
        <f t="shared" si="1"/>
        <v>981</v>
      </c>
      <c r="P11" s="40"/>
      <c r="Q11" s="104" t="str">
        <f t="shared" si="2"/>
        <v>January</v>
      </c>
      <c r="R11" s="106">
        <f t="shared" si="3"/>
        <v>1460</v>
      </c>
      <c r="S11" s="106">
        <f t="shared" si="4"/>
        <v>981</v>
      </c>
      <c r="T11" s="2"/>
      <c r="U11" s="2"/>
      <c r="V11" s="2"/>
      <c r="W11" s="2"/>
    </row>
    <row r="12" spans="1:23" customFormat="1" x14ac:dyDescent="0.3">
      <c r="A12" s="124"/>
      <c r="B12" s="126"/>
      <c r="C12" s="79" t="s">
        <v>42</v>
      </c>
      <c r="D12" s="9" t="s">
        <v>9</v>
      </c>
      <c r="E12" s="10">
        <v>46043.451388888891</v>
      </c>
      <c r="F12" s="10">
        <v>46045.85833333333</v>
      </c>
      <c r="G12" s="11">
        <v>137</v>
      </c>
      <c r="H12" s="11">
        <v>150</v>
      </c>
      <c r="I12" s="11">
        <v>0</v>
      </c>
      <c r="J12" s="11">
        <v>90</v>
      </c>
      <c r="K12" s="11">
        <v>42</v>
      </c>
      <c r="L12" s="11">
        <v>21</v>
      </c>
      <c r="M12" s="11">
        <v>24</v>
      </c>
      <c r="N12" s="11">
        <f t="shared" si="0"/>
        <v>701</v>
      </c>
      <c r="O12" s="92">
        <f t="shared" si="1"/>
        <v>440</v>
      </c>
      <c r="P12" s="40"/>
      <c r="Q12" s="104" t="str">
        <f t="shared" si="2"/>
        <v>January</v>
      </c>
      <c r="R12" s="106">
        <f t="shared" si="3"/>
        <v>701</v>
      </c>
      <c r="S12" s="106">
        <f t="shared" si="4"/>
        <v>440</v>
      </c>
      <c r="T12" s="2"/>
      <c r="U12" s="2"/>
      <c r="V12" s="2"/>
      <c r="W12" s="2"/>
    </row>
    <row r="13" spans="1:23" customFormat="1" x14ac:dyDescent="0.3">
      <c r="A13" s="124"/>
      <c r="B13" s="126"/>
      <c r="C13" s="79" t="s">
        <v>23</v>
      </c>
      <c r="D13" s="9" t="s">
        <v>2</v>
      </c>
      <c r="E13" s="10">
        <v>46043.576388888891</v>
      </c>
      <c r="F13" s="10">
        <v>46047.505555555559</v>
      </c>
      <c r="G13" s="11">
        <v>62</v>
      </c>
      <c r="H13" s="11">
        <v>218</v>
      </c>
      <c r="I13" s="11">
        <v>36</v>
      </c>
      <c r="J13" s="11">
        <v>96</v>
      </c>
      <c r="K13" s="11">
        <v>89</v>
      </c>
      <c r="L13" s="11">
        <v>199</v>
      </c>
      <c r="M13" s="11">
        <v>8</v>
      </c>
      <c r="N13" s="11">
        <f t="shared" si="0"/>
        <v>1213</v>
      </c>
      <c r="O13" s="92">
        <f t="shared" si="1"/>
        <v>700</v>
      </c>
      <c r="P13" s="40"/>
      <c r="Q13" s="104" t="str">
        <f t="shared" si="2"/>
        <v>January</v>
      </c>
      <c r="R13" s="106">
        <f t="shared" si="3"/>
        <v>1213</v>
      </c>
      <c r="S13" s="106">
        <f t="shared" si="4"/>
        <v>700</v>
      </c>
      <c r="T13" s="2"/>
      <c r="U13" s="2"/>
      <c r="V13" s="2"/>
      <c r="W13" s="2"/>
    </row>
    <row r="14" spans="1:23" customFormat="1" x14ac:dyDescent="0.3">
      <c r="A14" s="124"/>
      <c r="B14" s="126"/>
      <c r="C14" s="84" t="s">
        <v>55</v>
      </c>
      <c r="D14" s="17" t="s">
        <v>2</v>
      </c>
      <c r="E14" s="18">
        <v>46046.663888888892</v>
      </c>
      <c r="F14" s="18">
        <v>46050.354166666664</v>
      </c>
      <c r="G14" s="19">
        <v>133</v>
      </c>
      <c r="H14" s="19">
        <v>266</v>
      </c>
      <c r="I14" s="19">
        <v>58</v>
      </c>
      <c r="J14" s="19">
        <v>38</v>
      </c>
      <c r="K14" s="19">
        <v>101</v>
      </c>
      <c r="L14" s="19">
        <v>292</v>
      </c>
      <c r="M14" s="19">
        <v>26</v>
      </c>
      <c r="N14" s="19">
        <f t="shared" si="0"/>
        <v>1484</v>
      </c>
      <c r="O14" s="93">
        <f t="shared" si="1"/>
        <v>888</v>
      </c>
      <c r="P14" s="41"/>
      <c r="Q14" s="104" t="str">
        <f t="shared" si="2"/>
        <v>January</v>
      </c>
      <c r="R14" s="106">
        <f t="shared" si="3"/>
        <v>1484</v>
      </c>
      <c r="S14" s="106">
        <f t="shared" si="4"/>
        <v>888</v>
      </c>
      <c r="T14" s="2"/>
      <c r="U14" s="2"/>
      <c r="V14" s="2"/>
      <c r="W14" s="2"/>
    </row>
    <row r="15" spans="1:23" customFormat="1" ht="15.65" thickBot="1" x14ac:dyDescent="0.35">
      <c r="A15" s="124"/>
      <c r="B15" s="126"/>
      <c r="C15" s="84" t="s">
        <v>59</v>
      </c>
      <c r="D15" s="17" t="s">
        <v>5</v>
      </c>
      <c r="E15" s="18">
        <v>46048.65</v>
      </c>
      <c r="F15" s="18">
        <v>46050.945833333331</v>
      </c>
      <c r="G15" s="19">
        <v>333</v>
      </c>
      <c r="H15" s="19">
        <v>32</v>
      </c>
      <c r="I15" s="19">
        <v>1</v>
      </c>
      <c r="J15" s="19">
        <v>0</v>
      </c>
      <c r="K15" s="19">
        <v>120</v>
      </c>
      <c r="L15" s="19">
        <v>120</v>
      </c>
      <c r="M15" s="19">
        <v>28</v>
      </c>
      <c r="N15" s="19">
        <f t="shared" si="0"/>
        <v>758</v>
      </c>
      <c r="O15" s="93">
        <f t="shared" si="1"/>
        <v>606</v>
      </c>
      <c r="P15" s="41"/>
      <c r="Q15" s="104" t="str">
        <f t="shared" si="2"/>
        <v>January</v>
      </c>
      <c r="R15" s="106">
        <f t="shared" si="3"/>
        <v>758</v>
      </c>
      <c r="S15" s="106">
        <f t="shared" si="4"/>
        <v>606</v>
      </c>
      <c r="T15" s="2"/>
      <c r="U15" s="2"/>
      <c r="V15" s="2"/>
      <c r="W15" s="2"/>
    </row>
    <row r="16" spans="1:23" customFormat="1" ht="14.4" customHeight="1" x14ac:dyDescent="0.3">
      <c r="A16" s="127" t="s">
        <v>82</v>
      </c>
      <c r="B16" s="129">
        <f>COUNTA(C16:C20)</f>
        <v>5</v>
      </c>
      <c r="C16" s="86" t="s">
        <v>60</v>
      </c>
      <c r="D16" s="87" t="s">
        <v>2</v>
      </c>
      <c r="E16" s="88">
        <v>46053.429166666669</v>
      </c>
      <c r="F16" s="88">
        <v>46058.033333333333</v>
      </c>
      <c r="G16" s="89">
        <v>102</v>
      </c>
      <c r="H16" s="89">
        <v>348</v>
      </c>
      <c r="I16" s="89">
        <v>91</v>
      </c>
      <c r="J16" s="89">
        <v>200</v>
      </c>
      <c r="K16" s="89">
        <v>58</v>
      </c>
      <c r="L16" s="89">
        <v>196</v>
      </c>
      <c r="M16" s="89">
        <v>26</v>
      </c>
      <c r="N16" s="89">
        <f t="shared" si="0"/>
        <v>1739</v>
      </c>
      <c r="O16" s="94">
        <f t="shared" si="1"/>
        <v>995</v>
      </c>
      <c r="P16" s="97">
        <f>SUM(N16:N20)</f>
        <v>5123</v>
      </c>
      <c r="Q16" s="104" t="str">
        <f t="shared" si="2"/>
        <v>February</v>
      </c>
      <c r="R16" s="106">
        <f t="shared" si="3"/>
        <v>1739</v>
      </c>
      <c r="S16" s="106">
        <f t="shared" si="4"/>
        <v>995</v>
      </c>
      <c r="T16" s="2"/>
      <c r="U16" s="2"/>
      <c r="V16" s="2"/>
      <c r="W16" s="2"/>
    </row>
    <row r="17" spans="1:23" customFormat="1" x14ac:dyDescent="0.3">
      <c r="A17" s="128"/>
      <c r="B17" s="130"/>
      <c r="C17" s="85" t="s">
        <v>54</v>
      </c>
      <c r="D17" s="13" t="s">
        <v>5</v>
      </c>
      <c r="E17" s="14">
        <v>46054.73333333333</v>
      </c>
      <c r="F17" s="14">
        <v>46056.772916666669</v>
      </c>
      <c r="G17" s="15">
        <v>207</v>
      </c>
      <c r="H17" s="15">
        <v>94</v>
      </c>
      <c r="I17" s="15">
        <v>0</v>
      </c>
      <c r="J17" s="15">
        <v>0</v>
      </c>
      <c r="K17" s="15">
        <v>195</v>
      </c>
      <c r="L17" s="15">
        <v>41</v>
      </c>
      <c r="M17" s="15">
        <v>16</v>
      </c>
      <c r="N17" s="15">
        <f t="shared" si="0"/>
        <v>672</v>
      </c>
      <c r="O17" s="95">
        <f t="shared" si="1"/>
        <v>537</v>
      </c>
      <c r="P17" s="40"/>
      <c r="Q17" s="104" t="str">
        <f t="shared" si="2"/>
        <v>February</v>
      </c>
      <c r="R17" s="106">
        <f t="shared" si="3"/>
        <v>672</v>
      </c>
      <c r="S17" s="106">
        <f t="shared" si="4"/>
        <v>537</v>
      </c>
      <c r="T17" s="2"/>
      <c r="U17" s="2"/>
      <c r="V17" s="2"/>
      <c r="W17" s="2"/>
    </row>
    <row r="18" spans="1:23" customFormat="1" x14ac:dyDescent="0.3">
      <c r="A18" s="128"/>
      <c r="B18" s="130"/>
      <c r="C18" s="85" t="s">
        <v>59</v>
      </c>
      <c r="D18" s="13" t="s">
        <v>5</v>
      </c>
      <c r="E18" s="14">
        <v>46069.054166666669</v>
      </c>
      <c r="F18" s="14">
        <v>46071.791666666664</v>
      </c>
      <c r="G18" s="15">
        <v>330</v>
      </c>
      <c r="H18" s="15">
        <v>32</v>
      </c>
      <c r="I18" s="15">
        <v>7</v>
      </c>
      <c r="J18" s="15">
        <v>4</v>
      </c>
      <c r="K18" s="15">
        <v>396</v>
      </c>
      <c r="L18" s="15">
        <v>111</v>
      </c>
      <c r="M18" s="15">
        <v>28</v>
      </c>
      <c r="N18" s="15">
        <f t="shared" si="0"/>
        <v>1027</v>
      </c>
      <c r="O18" s="95">
        <f t="shared" si="1"/>
        <v>880</v>
      </c>
      <c r="P18" s="40"/>
      <c r="Q18" s="104" t="str">
        <f t="shared" si="2"/>
        <v>February</v>
      </c>
      <c r="R18" s="106">
        <f t="shared" si="3"/>
        <v>1027</v>
      </c>
      <c r="S18" s="106">
        <f t="shared" si="4"/>
        <v>880</v>
      </c>
      <c r="T18" s="2"/>
      <c r="U18" s="2"/>
      <c r="V18" s="2"/>
      <c r="W18" s="2"/>
    </row>
    <row r="19" spans="1:23" customFormat="1" x14ac:dyDescent="0.3">
      <c r="A19" s="128"/>
      <c r="B19" s="130"/>
      <c r="C19" s="90" t="s">
        <v>52</v>
      </c>
      <c r="D19" s="29" t="s">
        <v>13</v>
      </c>
      <c r="E19" s="30">
        <v>46070.979166666664</v>
      </c>
      <c r="F19" s="30">
        <v>46074.362500000003</v>
      </c>
      <c r="G19" s="31">
        <v>86</v>
      </c>
      <c r="H19" s="31">
        <v>195</v>
      </c>
      <c r="I19" s="31">
        <v>1</v>
      </c>
      <c r="J19" s="31">
        <v>64</v>
      </c>
      <c r="K19" s="31">
        <v>80</v>
      </c>
      <c r="L19" s="31">
        <v>147</v>
      </c>
      <c r="M19" s="31">
        <v>14</v>
      </c>
      <c r="N19" s="31">
        <f t="shared" si="0"/>
        <v>979</v>
      </c>
      <c r="O19" s="96">
        <f t="shared" si="1"/>
        <v>573</v>
      </c>
      <c r="P19" s="41"/>
      <c r="Q19" s="104" t="str">
        <f t="shared" si="2"/>
        <v>February</v>
      </c>
      <c r="R19" s="106">
        <f t="shared" si="3"/>
        <v>979</v>
      </c>
      <c r="S19" s="106">
        <f t="shared" si="4"/>
        <v>573</v>
      </c>
      <c r="T19" s="2"/>
      <c r="U19" s="2"/>
      <c r="V19" s="2"/>
      <c r="W19" s="2"/>
    </row>
    <row r="20" spans="1:23" customFormat="1" ht="15.65" thickBot="1" x14ac:dyDescent="0.35">
      <c r="A20" s="128"/>
      <c r="B20" s="130"/>
      <c r="C20" s="90" t="s">
        <v>61</v>
      </c>
      <c r="D20" s="29" t="s">
        <v>5</v>
      </c>
      <c r="E20" s="30">
        <v>46074.451388888891</v>
      </c>
      <c r="F20" s="30">
        <v>46076.739583333336</v>
      </c>
      <c r="G20" s="31">
        <v>260</v>
      </c>
      <c r="H20" s="31">
        <v>96</v>
      </c>
      <c r="I20" s="31">
        <v>0</v>
      </c>
      <c r="J20" s="31">
        <v>11</v>
      </c>
      <c r="K20" s="31">
        <v>214</v>
      </c>
      <c r="L20" s="31">
        <v>9</v>
      </c>
      <c r="M20" s="31">
        <v>26</v>
      </c>
      <c r="N20" s="31">
        <f>G20+H20*2+I20+J20*2+K20+L20*2</f>
        <v>706</v>
      </c>
      <c r="O20" s="96">
        <f t="shared" si="1"/>
        <v>590</v>
      </c>
      <c r="P20" s="41"/>
      <c r="Q20" s="104" t="str">
        <f t="shared" si="2"/>
        <v>February</v>
      </c>
      <c r="R20" s="106">
        <f t="shared" si="3"/>
        <v>706</v>
      </c>
      <c r="S20" s="106">
        <f t="shared" si="4"/>
        <v>590</v>
      </c>
      <c r="T20" s="2"/>
      <c r="U20" s="2"/>
      <c r="V20" s="2"/>
      <c r="W20" s="2"/>
    </row>
    <row r="21" spans="1:23" customFormat="1" ht="14.4" customHeight="1" x14ac:dyDescent="0.3">
      <c r="A21" s="123" t="s">
        <v>83</v>
      </c>
      <c r="B21" s="125">
        <f>COUNTA(C21:C31)</f>
        <v>11</v>
      </c>
      <c r="C21" s="80" t="s">
        <v>55</v>
      </c>
      <c r="D21" s="81" t="s">
        <v>2</v>
      </c>
      <c r="E21" s="82">
        <v>46087.629861111112</v>
      </c>
      <c r="F21" s="82">
        <v>46091.366666666669</v>
      </c>
      <c r="G21" s="83">
        <v>71</v>
      </c>
      <c r="H21" s="83">
        <v>296</v>
      </c>
      <c r="I21" s="83">
        <v>98</v>
      </c>
      <c r="J21" s="83">
        <v>210</v>
      </c>
      <c r="K21" s="83">
        <v>16</v>
      </c>
      <c r="L21" s="83">
        <v>108</v>
      </c>
      <c r="M21" s="83">
        <v>26</v>
      </c>
      <c r="N21" s="83">
        <f>G21+H21*2+I21+J21*2+K21+L21*2</f>
        <v>1413</v>
      </c>
      <c r="O21" s="91">
        <f t="shared" si="1"/>
        <v>799</v>
      </c>
      <c r="P21" s="97">
        <f>SUM(N21:N31)</f>
        <v>12744</v>
      </c>
      <c r="Q21" s="104" t="str">
        <f t="shared" si="2"/>
        <v>March</v>
      </c>
      <c r="R21" s="106">
        <f t="shared" si="3"/>
        <v>1413</v>
      </c>
      <c r="S21" s="106">
        <f t="shared" si="4"/>
        <v>799</v>
      </c>
      <c r="T21" s="2"/>
      <c r="U21" s="2"/>
      <c r="V21" s="2"/>
      <c r="W21" s="2"/>
    </row>
    <row r="22" spans="1:23" customFormat="1" x14ac:dyDescent="0.3">
      <c r="A22" s="124"/>
      <c r="B22" s="126"/>
      <c r="C22" s="79" t="s">
        <v>16</v>
      </c>
      <c r="D22" s="9" t="s">
        <v>2</v>
      </c>
      <c r="E22" s="10">
        <v>46078.423611111109</v>
      </c>
      <c r="F22" s="10">
        <v>46082.269444444442</v>
      </c>
      <c r="G22" s="11">
        <v>231</v>
      </c>
      <c r="H22" s="11">
        <v>135</v>
      </c>
      <c r="I22" s="11">
        <v>159</v>
      </c>
      <c r="J22" s="11">
        <v>198</v>
      </c>
      <c r="K22" s="11">
        <v>0</v>
      </c>
      <c r="L22" s="11">
        <v>0</v>
      </c>
      <c r="M22" s="11">
        <v>26</v>
      </c>
      <c r="N22" s="11">
        <f t="shared" si="0"/>
        <v>1056</v>
      </c>
      <c r="O22" s="92">
        <f t="shared" si="1"/>
        <v>723</v>
      </c>
      <c r="P22" s="40"/>
      <c r="Q22" s="104" t="str">
        <f t="shared" si="2"/>
        <v>March</v>
      </c>
      <c r="R22" s="106">
        <f t="shared" si="3"/>
        <v>1056</v>
      </c>
      <c r="S22" s="106">
        <f t="shared" si="4"/>
        <v>723</v>
      </c>
      <c r="T22" s="2"/>
      <c r="U22" s="2"/>
      <c r="V22" s="2"/>
      <c r="W22" s="2"/>
    </row>
    <row r="23" spans="1:23" customFormat="1" x14ac:dyDescent="0.3">
      <c r="A23" s="124"/>
      <c r="B23" s="126"/>
      <c r="C23" s="79" t="s">
        <v>24</v>
      </c>
      <c r="D23" s="9" t="s">
        <v>5</v>
      </c>
      <c r="E23" s="10">
        <v>46082.37222222222</v>
      </c>
      <c r="F23" s="10">
        <v>46083.754166666666</v>
      </c>
      <c r="G23" s="11">
        <v>127</v>
      </c>
      <c r="H23" s="11">
        <v>62</v>
      </c>
      <c r="I23" s="11">
        <v>13</v>
      </c>
      <c r="J23" s="11">
        <v>41</v>
      </c>
      <c r="K23" s="11">
        <v>67</v>
      </c>
      <c r="L23" s="11">
        <v>8</v>
      </c>
      <c r="M23" s="11">
        <v>0</v>
      </c>
      <c r="N23" s="11">
        <f t="shared" si="0"/>
        <v>429</v>
      </c>
      <c r="O23" s="92">
        <f t="shared" si="1"/>
        <v>318</v>
      </c>
      <c r="P23" s="40"/>
      <c r="Q23" s="104" t="str">
        <f t="shared" si="2"/>
        <v>March</v>
      </c>
      <c r="R23" s="106">
        <f t="shared" si="3"/>
        <v>429</v>
      </c>
      <c r="S23" s="106">
        <f t="shared" si="4"/>
        <v>318</v>
      </c>
      <c r="T23" s="2"/>
      <c r="U23" s="2"/>
      <c r="V23" s="2"/>
      <c r="W23" s="2"/>
    </row>
    <row r="24" spans="1:23" customFormat="1" x14ac:dyDescent="0.3">
      <c r="A24" s="124"/>
      <c r="B24" s="126"/>
      <c r="C24" s="79" t="s">
        <v>14</v>
      </c>
      <c r="D24" s="9" t="s">
        <v>9</v>
      </c>
      <c r="E24" s="10">
        <v>46083.841666666667</v>
      </c>
      <c r="F24" s="10">
        <v>46089.048611111109</v>
      </c>
      <c r="G24" s="11">
        <v>203</v>
      </c>
      <c r="H24" s="11">
        <v>236</v>
      </c>
      <c r="I24" s="11">
        <v>62</v>
      </c>
      <c r="J24" s="11">
        <v>136</v>
      </c>
      <c r="K24" s="11">
        <v>202</v>
      </c>
      <c r="L24" s="11">
        <v>175</v>
      </c>
      <c r="M24" s="11">
        <v>26</v>
      </c>
      <c r="N24" s="11">
        <f t="shared" si="0"/>
        <v>1561</v>
      </c>
      <c r="O24" s="92">
        <f t="shared" si="1"/>
        <v>1014</v>
      </c>
      <c r="P24" s="40"/>
      <c r="Q24" s="104" t="str">
        <f t="shared" si="2"/>
        <v>March</v>
      </c>
      <c r="R24" s="106">
        <f t="shared" si="3"/>
        <v>1561</v>
      </c>
      <c r="S24" s="106">
        <f t="shared" si="4"/>
        <v>1014</v>
      </c>
      <c r="T24" s="2"/>
      <c r="U24" s="2"/>
      <c r="V24" s="2"/>
      <c r="W24" s="2"/>
    </row>
    <row r="25" spans="1:23" customFormat="1" x14ac:dyDescent="0.3">
      <c r="A25" s="124"/>
      <c r="B25" s="126"/>
      <c r="C25" s="79" t="s">
        <v>60</v>
      </c>
      <c r="D25" s="9" t="s">
        <v>2</v>
      </c>
      <c r="E25" s="10">
        <v>46091.470833333333</v>
      </c>
      <c r="F25" s="10">
        <v>46095.35833333333</v>
      </c>
      <c r="G25" s="11">
        <v>234</v>
      </c>
      <c r="H25" s="11">
        <v>254</v>
      </c>
      <c r="I25" s="11">
        <v>86</v>
      </c>
      <c r="J25" s="11">
        <v>53</v>
      </c>
      <c r="K25" s="11">
        <v>41</v>
      </c>
      <c r="L25" s="11">
        <v>340</v>
      </c>
      <c r="M25" s="11">
        <v>26</v>
      </c>
      <c r="N25" s="11">
        <f t="shared" si="0"/>
        <v>1655</v>
      </c>
      <c r="O25" s="92">
        <f t="shared" si="1"/>
        <v>1008</v>
      </c>
      <c r="P25" s="40"/>
      <c r="Q25" s="104" t="str">
        <f t="shared" si="2"/>
        <v>March</v>
      </c>
      <c r="R25" s="106">
        <f t="shared" si="3"/>
        <v>1655</v>
      </c>
      <c r="S25" s="106">
        <f t="shared" si="4"/>
        <v>1008</v>
      </c>
      <c r="T25" s="2"/>
      <c r="U25" s="2"/>
      <c r="V25" s="2"/>
      <c r="W25" s="2"/>
    </row>
    <row r="26" spans="1:23" customFormat="1" x14ac:dyDescent="0.3">
      <c r="A26" s="124"/>
      <c r="B26" s="126"/>
      <c r="C26" s="79" t="s">
        <v>52</v>
      </c>
      <c r="D26" s="9" t="s">
        <v>13</v>
      </c>
      <c r="E26" s="10">
        <v>46096.386111111111</v>
      </c>
      <c r="F26" s="10">
        <v>46098.344444444447</v>
      </c>
      <c r="G26" s="11">
        <v>68</v>
      </c>
      <c r="H26" s="11">
        <v>216</v>
      </c>
      <c r="I26" s="11">
        <v>1</v>
      </c>
      <c r="J26" s="11">
        <v>100</v>
      </c>
      <c r="K26" s="11">
        <v>54</v>
      </c>
      <c r="L26" s="11">
        <v>90</v>
      </c>
      <c r="M26" s="11">
        <v>16</v>
      </c>
      <c r="N26" s="11">
        <f t="shared" si="0"/>
        <v>935</v>
      </c>
      <c r="O26" s="92">
        <f t="shared" si="1"/>
        <v>529</v>
      </c>
      <c r="P26" s="40"/>
      <c r="Q26" s="104" t="str">
        <f t="shared" si="2"/>
        <v>March</v>
      </c>
      <c r="R26" s="106">
        <f t="shared" si="3"/>
        <v>935</v>
      </c>
      <c r="S26" s="106">
        <f t="shared" si="4"/>
        <v>529</v>
      </c>
      <c r="T26" s="2"/>
      <c r="U26" s="2"/>
      <c r="V26" s="2"/>
      <c r="W26" s="2"/>
    </row>
    <row r="27" spans="1:23" customFormat="1" x14ac:dyDescent="0.3">
      <c r="A27" s="124"/>
      <c r="B27" s="126"/>
      <c r="C27" s="79" t="s">
        <v>62</v>
      </c>
      <c r="D27" s="9" t="s">
        <v>9</v>
      </c>
      <c r="E27" s="10">
        <v>46099.020833333336</v>
      </c>
      <c r="F27" s="10">
        <v>46103.8125</v>
      </c>
      <c r="G27" s="11">
        <v>103</v>
      </c>
      <c r="H27" s="11">
        <v>273</v>
      </c>
      <c r="I27" s="11">
        <v>1</v>
      </c>
      <c r="J27" s="11">
        <v>23</v>
      </c>
      <c r="K27" s="11">
        <v>203</v>
      </c>
      <c r="L27" s="11">
        <v>219</v>
      </c>
      <c r="M27" s="11">
        <v>28</v>
      </c>
      <c r="N27" s="11">
        <f t="shared" si="0"/>
        <v>1337</v>
      </c>
      <c r="O27" s="92">
        <f>SUM(G27:L27)</f>
        <v>822</v>
      </c>
      <c r="P27" s="40"/>
      <c r="Q27" s="104" t="str">
        <f t="shared" si="2"/>
        <v>March</v>
      </c>
      <c r="R27" s="106">
        <f t="shared" si="3"/>
        <v>1337</v>
      </c>
      <c r="S27" s="106">
        <f t="shared" si="4"/>
        <v>822</v>
      </c>
      <c r="T27" s="2"/>
      <c r="U27" s="2"/>
      <c r="V27" s="2"/>
      <c r="W27" s="2"/>
    </row>
    <row r="28" spans="1:23" customFormat="1" x14ac:dyDescent="0.3">
      <c r="A28" s="124"/>
      <c r="B28" s="126"/>
      <c r="C28" s="79" t="s">
        <v>16</v>
      </c>
      <c r="D28" s="9" t="s">
        <v>2</v>
      </c>
      <c r="E28" s="10">
        <v>46102.4375</v>
      </c>
      <c r="F28" s="10">
        <v>46105.84375</v>
      </c>
      <c r="G28" s="11">
        <v>215</v>
      </c>
      <c r="H28" s="11">
        <v>218</v>
      </c>
      <c r="I28" s="11">
        <v>78</v>
      </c>
      <c r="J28" s="11">
        <v>107</v>
      </c>
      <c r="K28" s="11">
        <v>6</v>
      </c>
      <c r="L28" s="11">
        <v>186</v>
      </c>
      <c r="M28" s="11">
        <v>26</v>
      </c>
      <c r="N28" s="11">
        <f t="shared" si="0"/>
        <v>1321</v>
      </c>
      <c r="O28" s="92">
        <f t="shared" si="1"/>
        <v>810</v>
      </c>
      <c r="P28" s="40"/>
      <c r="Q28" s="104" t="str">
        <f t="shared" si="2"/>
        <v>March</v>
      </c>
      <c r="R28" s="106">
        <f t="shared" si="3"/>
        <v>1321</v>
      </c>
      <c r="S28" s="106">
        <f t="shared" si="4"/>
        <v>810</v>
      </c>
      <c r="T28" s="2"/>
      <c r="U28" s="2"/>
      <c r="V28" s="2"/>
      <c r="W28" s="2"/>
    </row>
    <row r="29" spans="1:23" customFormat="1" x14ac:dyDescent="0.3">
      <c r="A29" s="124"/>
      <c r="B29" s="126"/>
      <c r="C29" s="79" t="s">
        <v>59</v>
      </c>
      <c r="D29" s="9" t="s">
        <v>5</v>
      </c>
      <c r="E29" s="10">
        <v>46105.979166666664</v>
      </c>
      <c r="F29" s="10">
        <v>46109.395833333336</v>
      </c>
      <c r="G29" s="11">
        <v>204</v>
      </c>
      <c r="H29" s="11">
        <v>231</v>
      </c>
      <c r="I29" s="11">
        <v>11</v>
      </c>
      <c r="J29" s="11">
        <v>99</v>
      </c>
      <c r="K29" s="11">
        <v>475</v>
      </c>
      <c r="L29" s="11">
        <v>52</v>
      </c>
      <c r="M29" s="11">
        <v>28</v>
      </c>
      <c r="N29" s="11">
        <f t="shared" si="0"/>
        <v>1454</v>
      </c>
      <c r="O29" s="92">
        <f t="shared" si="1"/>
        <v>1072</v>
      </c>
      <c r="P29" s="40"/>
      <c r="Q29" s="104" t="str">
        <f t="shared" si="2"/>
        <v>March</v>
      </c>
      <c r="R29" s="106">
        <f t="shared" si="3"/>
        <v>1454</v>
      </c>
      <c r="S29" s="106">
        <f t="shared" si="4"/>
        <v>1072</v>
      </c>
      <c r="T29" s="2"/>
      <c r="U29" s="2"/>
      <c r="V29" s="2"/>
      <c r="W29" s="2"/>
    </row>
    <row r="30" spans="1:23" customFormat="1" x14ac:dyDescent="0.3">
      <c r="A30" s="124"/>
      <c r="B30" s="126"/>
      <c r="C30" s="84" t="s">
        <v>55</v>
      </c>
      <c r="D30" s="17" t="s">
        <v>2</v>
      </c>
      <c r="E30" s="18">
        <v>46107.5</v>
      </c>
      <c r="F30" s="18">
        <v>46110.095833333333</v>
      </c>
      <c r="G30" s="19">
        <v>207</v>
      </c>
      <c r="H30" s="19">
        <v>204</v>
      </c>
      <c r="I30" s="19">
        <v>0</v>
      </c>
      <c r="J30" s="19">
        <v>41</v>
      </c>
      <c r="K30" s="19">
        <v>206</v>
      </c>
      <c r="L30" s="19">
        <v>141</v>
      </c>
      <c r="M30" s="19">
        <v>26</v>
      </c>
      <c r="N30" s="19">
        <f t="shared" si="0"/>
        <v>1185</v>
      </c>
      <c r="O30" s="93">
        <f t="shared" si="1"/>
        <v>799</v>
      </c>
      <c r="P30" s="41"/>
      <c r="Q30" s="104" t="str">
        <f t="shared" si="2"/>
        <v>March</v>
      </c>
      <c r="R30" s="106">
        <f t="shared" si="3"/>
        <v>1185</v>
      </c>
      <c r="S30" s="106">
        <f t="shared" si="4"/>
        <v>799</v>
      </c>
      <c r="T30" s="2"/>
      <c r="U30" s="2"/>
      <c r="V30" s="2"/>
      <c r="W30" s="2"/>
    </row>
    <row r="31" spans="1:23" customFormat="1" ht="15.65" thickBot="1" x14ac:dyDescent="0.35">
      <c r="A31" s="124"/>
      <c r="B31" s="126"/>
      <c r="C31" s="84" t="s">
        <v>24</v>
      </c>
      <c r="D31" s="17" t="s">
        <v>5</v>
      </c>
      <c r="E31" s="18">
        <v>46110.226388888892</v>
      </c>
      <c r="F31" s="18">
        <v>46111.354166666664</v>
      </c>
      <c r="G31" s="19">
        <v>101</v>
      </c>
      <c r="H31" s="19">
        <v>89</v>
      </c>
      <c r="I31" s="19">
        <v>2</v>
      </c>
      <c r="J31" s="19">
        <v>2</v>
      </c>
      <c r="K31" s="19">
        <v>77</v>
      </c>
      <c r="L31" s="19">
        <v>18</v>
      </c>
      <c r="M31" s="19">
        <v>0</v>
      </c>
      <c r="N31" s="19">
        <f t="shared" si="0"/>
        <v>398</v>
      </c>
      <c r="O31" s="93">
        <f t="shared" si="1"/>
        <v>289</v>
      </c>
      <c r="P31" s="41"/>
      <c r="Q31" s="104" t="str">
        <f t="shared" si="2"/>
        <v>March</v>
      </c>
      <c r="R31" s="106">
        <f t="shared" si="3"/>
        <v>398</v>
      </c>
      <c r="S31" s="106">
        <f t="shared" si="4"/>
        <v>289</v>
      </c>
      <c r="T31" s="2"/>
      <c r="U31" s="2"/>
      <c r="V31" s="2"/>
      <c r="W31" s="2"/>
    </row>
    <row r="32" spans="1:23" customFormat="1" ht="14.4" customHeight="1" x14ac:dyDescent="0.3">
      <c r="A32" s="127" t="s">
        <v>84</v>
      </c>
      <c r="B32" s="129">
        <f>COUNTA(C32:C41)</f>
        <v>10</v>
      </c>
      <c r="C32" s="86" t="s">
        <v>21</v>
      </c>
      <c r="D32" s="87" t="s">
        <v>2</v>
      </c>
      <c r="E32" s="88">
        <v>46111.433333333334</v>
      </c>
      <c r="F32" s="88">
        <v>46113.145833333336</v>
      </c>
      <c r="G32" s="89">
        <v>184</v>
      </c>
      <c r="H32" s="89">
        <v>319</v>
      </c>
      <c r="I32" s="89">
        <v>0</v>
      </c>
      <c r="J32" s="89">
        <v>0</v>
      </c>
      <c r="K32" s="89">
        <v>50</v>
      </c>
      <c r="L32" s="89">
        <v>100</v>
      </c>
      <c r="M32" s="89">
        <v>28</v>
      </c>
      <c r="N32" s="89">
        <f t="shared" si="0"/>
        <v>1072</v>
      </c>
      <c r="O32" s="94">
        <f t="shared" si="1"/>
        <v>653</v>
      </c>
      <c r="P32" s="97">
        <f>SUM(N32:N41)</f>
        <v>12671</v>
      </c>
      <c r="Q32" s="104" t="str">
        <f t="shared" si="2"/>
        <v>April</v>
      </c>
      <c r="R32" s="106">
        <f t="shared" si="3"/>
        <v>1072</v>
      </c>
      <c r="S32" s="106">
        <f t="shared" si="4"/>
        <v>653</v>
      </c>
      <c r="T32" s="2"/>
      <c r="U32" s="2"/>
      <c r="V32" s="2"/>
      <c r="W32" s="2"/>
    </row>
    <row r="33" spans="1:23" customFormat="1" x14ac:dyDescent="0.3">
      <c r="A33" s="128"/>
      <c r="B33" s="130"/>
      <c r="C33" s="85" t="s">
        <v>60</v>
      </c>
      <c r="D33" s="13" t="s">
        <v>2</v>
      </c>
      <c r="E33" s="14">
        <v>46117.737500000003</v>
      </c>
      <c r="F33" s="14">
        <v>46120.367361111108</v>
      </c>
      <c r="G33" s="15">
        <v>75</v>
      </c>
      <c r="H33" s="15">
        <v>361</v>
      </c>
      <c r="I33" s="15">
        <v>10</v>
      </c>
      <c r="J33" s="15">
        <v>101</v>
      </c>
      <c r="K33" s="15">
        <v>217</v>
      </c>
      <c r="L33" s="15">
        <v>109</v>
      </c>
      <c r="M33" s="15">
        <v>24</v>
      </c>
      <c r="N33" s="15">
        <f t="shared" si="0"/>
        <v>1444</v>
      </c>
      <c r="O33" s="95">
        <f t="shared" si="1"/>
        <v>873</v>
      </c>
      <c r="P33" s="40"/>
      <c r="Q33" s="104" t="str">
        <f t="shared" si="2"/>
        <v>April</v>
      </c>
      <c r="R33" s="106">
        <f t="shared" si="3"/>
        <v>1444</v>
      </c>
      <c r="S33" s="106">
        <f t="shared" si="4"/>
        <v>873</v>
      </c>
      <c r="T33" s="2"/>
      <c r="U33" s="2"/>
      <c r="V33" s="2"/>
      <c r="W33" s="2"/>
    </row>
    <row r="34" spans="1:23" customFormat="1" x14ac:dyDescent="0.3">
      <c r="A34" s="128"/>
      <c r="B34" s="130"/>
      <c r="C34" s="85" t="s">
        <v>14</v>
      </c>
      <c r="D34" s="13" t="s">
        <v>9</v>
      </c>
      <c r="E34" s="14">
        <v>46120.430555555555</v>
      </c>
      <c r="F34" s="14">
        <v>46123.027777777781</v>
      </c>
      <c r="G34" s="15">
        <v>170</v>
      </c>
      <c r="H34" s="15">
        <v>176</v>
      </c>
      <c r="I34" s="15">
        <v>10</v>
      </c>
      <c r="J34" s="15">
        <v>39</v>
      </c>
      <c r="K34" s="15">
        <v>122</v>
      </c>
      <c r="L34" s="15">
        <v>225</v>
      </c>
      <c r="M34" s="15">
        <v>20</v>
      </c>
      <c r="N34" s="15">
        <f t="shared" si="0"/>
        <v>1182</v>
      </c>
      <c r="O34" s="95">
        <f t="shared" si="1"/>
        <v>742</v>
      </c>
      <c r="P34" s="40"/>
      <c r="Q34" s="104" t="str">
        <f t="shared" si="2"/>
        <v>April</v>
      </c>
      <c r="R34" s="106">
        <f t="shared" si="3"/>
        <v>1182</v>
      </c>
      <c r="S34" s="106">
        <f t="shared" si="4"/>
        <v>742</v>
      </c>
      <c r="T34" s="2"/>
      <c r="U34" s="2"/>
      <c r="V34" s="2"/>
      <c r="W34" s="2"/>
    </row>
    <row r="35" spans="1:23" customFormat="1" x14ac:dyDescent="0.3">
      <c r="A35" s="128"/>
      <c r="B35" s="130"/>
      <c r="C35" s="85" t="s">
        <v>59</v>
      </c>
      <c r="D35" s="13" t="s">
        <v>5</v>
      </c>
      <c r="E35" s="14">
        <v>46123.125</v>
      </c>
      <c r="F35" s="14">
        <v>46126.458333333336</v>
      </c>
      <c r="G35" s="15">
        <v>232</v>
      </c>
      <c r="H35" s="15">
        <v>206</v>
      </c>
      <c r="I35" s="15">
        <v>2</v>
      </c>
      <c r="J35" s="15">
        <v>7</v>
      </c>
      <c r="K35" s="15">
        <v>216</v>
      </c>
      <c r="L35" s="15">
        <v>256</v>
      </c>
      <c r="M35" s="15">
        <v>28</v>
      </c>
      <c r="N35" s="15">
        <f t="shared" si="0"/>
        <v>1388</v>
      </c>
      <c r="O35" s="95">
        <f>SUM(G35:L35)</f>
        <v>919</v>
      </c>
      <c r="P35" s="40"/>
      <c r="Q35" s="104" t="str">
        <f t="shared" si="2"/>
        <v>April</v>
      </c>
      <c r="R35" s="106">
        <f t="shared" si="3"/>
        <v>1388</v>
      </c>
      <c r="S35" s="106">
        <f t="shared" si="4"/>
        <v>919</v>
      </c>
      <c r="T35" s="2"/>
      <c r="U35" s="2"/>
      <c r="V35" s="2"/>
      <c r="W35" s="2"/>
    </row>
    <row r="36" spans="1:23" customFormat="1" x14ac:dyDescent="0.3">
      <c r="A36" s="128"/>
      <c r="B36" s="130"/>
      <c r="C36" s="85" t="s">
        <v>16</v>
      </c>
      <c r="D36" s="13" t="s">
        <v>2</v>
      </c>
      <c r="E36" s="14">
        <v>46123.447916666664</v>
      </c>
      <c r="F36" s="14">
        <v>46127.218055555553</v>
      </c>
      <c r="G36" s="15">
        <v>112</v>
      </c>
      <c r="H36" s="15">
        <v>306</v>
      </c>
      <c r="I36" s="15">
        <v>106</v>
      </c>
      <c r="J36" s="15">
        <v>103</v>
      </c>
      <c r="K36" s="15">
        <v>184</v>
      </c>
      <c r="L36" s="15">
        <v>204</v>
      </c>
      <c r="M36" s="15">
        <v>26</v>
      </c>
      <c r="N36" s="15">
        <f t="shared" si="0"/>
        <v>1628</v>
      </c>
      <c r="O36" s="95">
        <f t="shared" si="1"/>
        <v>1015</v>
      </c>
      <c r="P36" s="40"/>
      <c r="Q36" s="104" t="str">
        <f t="shared" si="2"/>
        <v>April</v>
      </c>
      <c r="R36" s="106">
        <f t="shared" si="3"/>
        <v>1628</v>
      </c>
      <c r="S36" s="106">
        <f t="shared" si="4"/>
        <v>1015</v>
      </c>
      <c r="T36" s="2"/>
      <c r="U36" s="2"/>
      <c r="V36" s="2"/>
      <c r="W36" s="2"/>
    </row>
    <row r="37" spans="1:23" customFormat="1" x14ac:dyDescent="0.3">
      <c r="A37" s="128"/>
      <c r="B37" s="130"/>
      <c r="C37" s="85" t="s">
        <v>52</v>
      </c>
      <c r="D37" s="13" t="s">
        <v>13</v>
      </c>
      <c r="E37" s="14">
        <v>46126.554166666669</v>
      </c>
      <c r="F37" s="14">
        <v>46128.883333333331</v>
      </c>
      <c r="G37" s="15">
        <v>123</v>
      </c>
      <c r="H37" s="15">
        <v>296</v>
      </c>
      <c r="I37" s="15">
        <v>4</v>
      </c>
      <c r="J37" s="15">
        <v>8</v>
      </c>
      <c r="K37" s="15">
        <v>93</v>
      </c>
      <c r="L37" s="15">
        <v>212</v>
      </c>
      <c r="M37" s="15">
        <v>26</v>
      </c>
      <c r="N37" s="15">
        <f t="shared" si="0"/>
        <v>1252</v>
      </c>
      <c r="O37" s="95">
        <f t="shared" si="1"/>
        <v>736</v>
      </c>
      <c r="P37" s="40"/>
      <c r="Q37" s="104" t="str">
        <f t="shared" si="2"/>
        <v>April</v>
      </c>
      <c r="R37" s="106">
        <f t="shared" si="3"/>
        <v>1252</v>
      </c>
      <c r="S37" s="106">
        <f t="shared" si="4"/>
        <v>736</v>
      </c>
      <c r="T37" s="2"/>
      <c r="U37" s="2"/>
      <c r="V37" s="2"/>
      <c r="W37" s="2"/>
    </row>
    <row r="38" spans="1:23" customFormat="1" x14ac:dyDescent="0.3">
      <c r="A38" s="128"/>
      <c r="B38" s="130"/>
      <c r="C38" s="85" t="s">
        <v>23</v>
      </c>
      <c r="D38" s="13" t="s">
        <v>2</v>
      </c>
      <c r="E38" s="14">
        <v>46127.854166666664</v>
      </c>
      <c r="F38" s="14">
        <v>46130.104166666664</v>
      </c>
      <c r="G38" s="15">
        <v>86</v>
      </c>
      <c r="H38" s="15">
        <v>258</v>
      </c>
      <c r="I38" s="15">
        <v>22</v>
      </c>
      <c r="J38" s="15">
        <v>77</v>
      </c>
      <c r="K38" s="15">
        <v>1</v>
      </c>
      <c r="L38" s="15">
        <v>0</v>
      </c>
      <c r="M38" s="15">
        <v>8</v>
      </c>
      <c r="N38" s="15">
        <f t="shared" si="0"/>
        <v>779</v>
      </c>
      <c r="O38" s="95">
        <f t="shared" ref="O38:O71" si="5">SUM(G38:L38)</f>
        <v>444</v>
      </c>
      <c r="P38" s="40"/>
      <c r="Q38" s="104" t="str">
        <f t="shared" si="2"/>
        <v>April</v>
      </c>
      <c r="R38" s="106">
        <f t="shared" si="3"/>
        <v>779</v>
      </c>
      <c r="S38" s="106">
        <f t="shared" si="4"/>
        <v>444</v>
      </c>
      <c r="T38" s="2"/>
      <c r="U38" s="2"/>
      <c r="V38" s="2"/>
      <c r="W38" s="2"/>
    </row>
    <row r="39" spans="1:23" customFormat="1" x14ac:dyDescent="0.3">
      <c r="A39" s="128"/>
      <c r="B39" s="130"/>
      <c r="C39" s="85" t="s">
        <v>57</v>
      </c>
      <c r="D39" s="13" t="s">
        <v>2</v>
      </c>
      <c r="E39" s="14">
        <v>46128.96875</v>
      </c>
      <c r="F39" s="14">
        <v>46132.78125</v>
      </c>
      <c r="G39" s="15">
        <v>91</v>
      </c>
      <c r="H39" s="15">
        <v>383</v>
      </c>
      <c r="I39" s="15">
        <v>0</v>
      </c>
      <c r="J39" s="15">
        <v>0</v>
      </c>
      <c r="K39" s="15">
        <v>152</v>
      </c>
      <c r="L39" s="15">
        <v>337</v>
      </c>
      <c r="M39" s="15">
        <v>28</v>
      </c>
      <c r="N39" s="15">
        <f t="shared" si="0"/>
        <v>1683</v>
      </c>
      <c r="O39" s="95">
        <f t="shared" si="5"/>
        <v>963</v>
      </c>
      <c r="P39" s="40"/>
      <c r="Q39" s="104" t="str">
        <f t="shared" si="2"/>
        <v>April</v>
      </c>
      <c r="R39" s="106">
        <f t="shared" si="3"/>
        <v>1683</v>
      </c>
      <c r="S39" s="106">
        <f t="shared" si="4"/>
        <v>963</v>
      </c>
      <c r="T39" s="2"/>
      <c r="U39" s="2"/>
      <c r="V39" s="2"/>
      <c r="W39" s="2"/>
    </row>
    <row r="40" spans="1:23" customFormat="1" x14ac:dyDescent="0.3">
      <c r="A40" s="128"/>
      <c r="B40" s="130"/>
      <c r="C40" s="90" t="s">
        <v>62</v>
      </c>
      <c r="D40" s="29" t="s">
        <v>9</v>
      </c>
      <c r="E40" s="30">
        <v>46132.9375</v>
      </c>
      <c r="F40" s="30">
        <v>46137.076388888891</v>
      </c>
      <c r="G40" s="31">
        <v>147</v>
      </c>
      <c r="H40" s="31">
        <v>311</v>
      </c>
      <c r="I40" s="31">
        <v>1</v>
      </c>
      <c r="J40" s="31">
        <v>0</v>
      </c>
      <c r="K40" s="31">
        <v>114</v>
      </c>
      <c r="L40" s="31">
        <v>153</v>
      </c>
      <c r="M40" s="31">
        <v>28</v>
      </c>
      <c r="N40" s="31">
        <f t="shared" si="0"/>
        <v>1190</v>
      </c>
      <c r="O40" s="96">
        <f t="shared" si="5"/>
        <v>726</v>
      </c>
      <c r="P40" s="41"/>
      <c r="Q40" s="104" t="str">
        <f t="shared" si="2"/>
        <v>April</v>
      </c>
      <c r="R40" s="106">
        <f t="shared" si="3"/>
        <v>1190</v>
      </c>
      <c r="S40" s="106">
        <f t="shared" si="4"/>
        <v>726</v>
      </c>
      <c r="T40" s="2"/>
      <c r="U40" s="2"/>
      <c r="V40" s="2"/>
      <c r="W40" s="2"/>
    </row>
    <row r="41" spans="1:23" customFormat="1" ht="15.65" thickBot="1" x14ac:dyDescent="0.35">
      <c r="A41" s="128"/>
      <c r="B41" s="130"/>
      <c r="C41" s="90" t="s">
        <v>24</v>
      </c>
      <c r="D41" s="29" t="s">
        <v>5</v>
      </c>
      <c r="E41" s="30">
        <v>46137.166666666664</v>
      </c>
      <c r="F41" s="30">
        <v>46139.729166666664</v>
      </c>
      <c r="G41" s="31">
        <v>220</v>
      </c>
      <c r="H41" s="31">
        <v>143</v>
      </c>
      <c r="I41" s="31">
        <v>5</v>
      </c>
      <c r="J41" s="31">
        <v>21</v>
      </c>
      <c r="K41" s="31">
        <v>234</v>
      </c>
      <c r="L41" s="31">
        <v>133</v>
      </c>
      <c r="M41" s="31">
        <v>0</v>
      </c>
      <c r="N41" s="31">
        <f t="shared" si="0"/>
        <v>1053</v>
      </c>
      <c r="O41" s="96">
        <f t="shared" si="5"/>
        <v>756</v>
      </c>
      <c r="P41" s="41"/>
      <c r="Q41" s="104" t="str">
        <f t="shared" si="2"/>
        <v>April</v>
      </c>
      <c r="R41" s="106">
        <f t="shared" si="3"/>
        <v>1053</v>
      </c>
      <c r="S41" s="106">
        <f t="shared" si="4"/>
        <v>756</v>
      </c>
      <c r="T41" s="2"/>
      <c r="U41" s="2"/>
      <c r="V41" s="2"/>
      <c r="W41" s="2"/>
    </row>
    <row r="42" spans="1:23" customFormat="1" ht="15.65" customHeight="1" x14ac:dyDescent="0.3">
      <c r="A42" s="123" t="s">
        <v>85</v>
      </c>
      <c r="B42" s="125">
        <f>COUNTA(C42:C51)</f>
        <v>10</v>
      </c>
      <c r="C42" s="80" t="s">
        <v>60</v>
      </c>
      <c r="D42" s="81" t="s">
        <v>2</v>
      </c>
      <c r="E42" s="82">
        <v>46139.816666666666</v>
      </c>
      <c r="F42" s="82">
        <v>46145.216666666667</v>
      </c>
      <c r="G42" s="83">
        <v>174</v>
      </c>
      <c r="H42" s="83">
        <v>291</v>
      </c>
      <c r="I42" s="83">
        <v>66</v>
      </c>
      <c r="J42" s="83">
        <v>105</v>
      </c>
      <c r="K42" s="83">
        <v>67</v>
      </c>
      <c r="L42" s="83">
        <v>259</v>
      </c>
      <c r="M42" s="83">
        <v>26</v>
      </c>
      <c r="N42" s="83">
        <f t="shared" si="0"/>
        <v>1617</v>
      </c>
      <c r="O42" s="91">
        <f t="shared" si="5"/>
        <v>962</v>
      </c>
      <c r="P42" s="97">
        <f>SUM(N42:N51)</f>
        <v>10628</v>
      </c>
      <c r="Q42" s="104" t="str">
        <f t="shared" si="2"/>
        <v>May</v>
      </c>
      <c r="R42" s="106">
        <f t="shared" si="3"/>
        <v>1617</v>
      </c>
      <c r="S42" s="106">
        <f t="shared" si="4"/>
        <v>962</v>
      </c>
      <c r="T42" s="2"/>
      <c r="U42" s="2"/>
      <c r="V42" s="2"/>
      <c r="W42" s="2"/>
    </row>
    <row r="43" spans="1:23" customFormat="1" ht="15.65" customHeight="1" x14ac:dyDescent="0.3">
      <c r="A43" s="124"/>
      <c r="B43" s="126"/>
      <c r="C43" s="79" t="s">
        <v>23</v>
      </c>
      <c r="D43" s="9" t="s">
        <v>2</v>
      </c>
      <c r="E43" s="10">
        <v>46150.987500000003</v>
      </c>
      <c r="F43" s="10">
        <v>46154.430555555555</v>
      </c>
      <c r="G43" s="11">
        <v>66</v>
      </c>
      <c r="H43" s="11">
        <v>260</v>
      </c>
      <c r="I43" s="11">
        <v>78</v>
      </c>
      <c r="J43" s="11">
        <v>112</v>
      </c>
      <c r="K43" s="11">
        <v>105</v>
      </c>
      <c r="L43" s="11">
        <v>158</v>
      </c>
      <c r="M43" s="11">
        <v>8</v>
      </c>
      <c r="N43" s="11">
        <f t="shared" si="0"/>
        <v>1309</v>
      </c>
      <c r="O43" s="92">
        <f t="shared" si="5"/>
        <v>779</v>
      </c>
      <c r="P43" s="40"/>
      <c r="Q43" s="104" t="str">
        <f t="shared" si="2"/>
        <v>May</v>
      </c>
      <c r="R43" s="106">
        <f t="shared" si="3"/>
        <v>1309</v>
      </c>
      <c r="S43" s="106">
        <f t="shared" si="4"/>
        <v>779</v>
      </c>
      <c r="T43" s="2"/>
      <c r="U43" s="2"/>
      <c r="V43" s="2"/>
      <c r="W43" s="2"/>
    </row>
    <row r="44" spans="1:23" customFormat="1" ht="15.65" customHeight="1" x14ac:dyDescent="0.3">
      <c r="A44" s="124"/>
      <c r="B44" s="126"/>
      <c r="C44" s="79" t="s">
        <v>16</v>
      </c>
      <c r="D44" s="9" t="s">
        <v>2</v>
      </c>
      <c r="E44" s="10">
        <v>46154.5</v>
      </c>
      <c r="F44" s="10">
        <v>46157.892361111109</v>
      </c>
      <c r="G44" s="11">
        <v>155</v>
      </c>
      <c r="H44" s="11">
        <v>284</v>
      </c>
      <c r="I44" s="11">
        <v>53</v>
      </c>
      <c r="J44" s="11">
        <v>89</v>
      </c>
      <c r="K44" s="11">
        <v>107</v>
      </c>
      <c r="L44" s="11">
        <v>255</v>
      </c>
      <c r="M44" s="11">
        <v>26</v>
      </c>
      <c r="N44" s="11">
        <f t="shared" si="0"/>
        <v>1571</v>
      </c>
      <c r="O44" s="92">
        <f t="shared" si="5"/>
        <v>943</v>
      </c>
      <c r="P44" s="40"/>
      <c r="Q44" s="104" t="str">
        <f t="shared" si="2"/>
        <v>May</v>
      </c>
      <c r="R44" s="106">
        <f t="shared" si="3"/>
        <v>1571</v>
      </c>
      <c r="S44" s="106">
        <f t="shared" si="4"/>
        <v>943</v>
      </c>
      <c r="T44" s="2"/>
      <c r="U44" s="2"/>
      <c r="V44" s="2"/>
      <c r="W44" s="2"/>
    </row>
    <row r="45" spans="1:23" customFormat="1" ht="15.65" customHeight="1" x14ac:dyDescent="0.3">
      <c r="A45" s="124"/>
      <c r="B45" s="126"/>
      <c r="C45" s="79" t="s">
        <v>59</v>
      </c>
      <c r="D45" s="9" t="s">
        <v>5</v>
      </c>
      <c r="E45" s="10">
        <v>46151.820833333331</v>
      </c>
      <c r="F45" s="10">
        <v>46156.722222222219</v>
      </c>
      <c r="G45" s="11">
        <v>215</v>
      </c>
      <c r="H45" s="11">
        <v>197</v>
      </c>
      <c r="I45" s="11">
        <v>17</v>
      </c>
      <c r="J45" s="11">
        <v>71</v>
      </c>
      <c r="K45" s="11">
        <v>230</v>
      </c>
      <c r="L45" s="11">
        <v>106</v>
      </c>
      <c r="M45" s="11">
        <v>28</v>
      </c>
      <c r="N45" s="11">
        <f t="shared" si="0"/>
        <v>1210</v>
      </c>
      <c r="O45" s="92">
        <f t="shared" si="5"/>
        <v>836</v>
      </c>
      <c r="P45" s="40"/>
      <c r="Q45" s="104" t="str">
        <f t="shared" si="2"/>
        <v>May</v>
      </c>
      <c r="R45" s="106">
        <f t="shared" si="3"/>
        <v>1210</v>
      </c>
      <c r="S45" s="106">
        <f t="shared" si="4"/>
        <v>836</v>
      </c>
      <c r="T45" s="2"/>
      <c r="U45" s="2"/>
      <c r="V45" s="2"/>
      <c r="W45" s="2"/>
    </row>
    <row r="46" spans="1:23" customFormat="1" ht="15.65" customHeight="1" x14ac:dyDescent="0.3">
      <c r="A46" s="124"/>
      <c r="B46" s="126"/>
      <c r="C46" s="79" t="s">
        <v>52</v>
      </c>
      <c r="D46" s="9" t="s">
        <v>13</v>
      </c>
      <c r="E46" s="10">
        <v>46157.508333333331</v>
      </c>
      <c r="F46" s="10">
        <v>46159.541666666664</v>
      </c>
      <c r="G46" s="11">
        <v>130</v>
      </c>
      <c r="H46" s="11">
        <v>189</v>
      </c>
      <c r="I46" s="11">
        <v>2</v>
      </c>
      <c r="J46" s="11">
        <v>4</v>
      </c>
      <c r="K46" s="11">
        <v>102</v>
      </c>
      <c r="L46" s="11">
        <v>225</v>
      </c>
      <c r="M46" s="11">
        <v>16</v>
      </c>
      <c r="N46" s="11">
        <f t="shared" si="0"/>
        <v>1070</v>
      </c>
      <c r="O46" s="92">
        <f t="shared" si="5"/>
        <v>652</v>
      </c>
      <c r="P46" s="40"/>
      <c r="Q46" s="104" t="str">
        <f t="shared" si="2"/>
        <v>May</v>
      </c>
      <c r="R46" s="106">
        <f t="shared" si="3"/>
        <v>1070</v>
      </c>
      <c r="S46" s="106">
        <f t="shared" si="4"/>
        <v>652</v>
      </c>
      <c r="T46" s="2"/>
      <c r="U46" s="2"/>
      <c r="V46" s="2"/>
      <c r="W46" s="2"/>
    </row>
    <row r="47" spans="1:23" customFormat="1" ht="15.65" customHeight="1" x14ac:dyDescent="0.3">
      <c r="A47" s="124"/>
      <c r="B47" s="126"/>
      <c r="C47" s="79" t="s">
        <v>62</v>
      </c>
      <c r="D47" s="9" t="s">
        <v>9</v>
      </c>
      <c r="E47" s="10">
        <v>46159.89166666667</v>
      </c>
      <c r="F47" s="10">
        <v>46162.979166666664</v>
      </c>
      <c r="G47" s="11">
        <v>74</v>
      </c>
      <c r="H47" s="11">
        <v>138</v>
      </c>
      <c r="I47" s="11">
        <v>0</v>
      </c>
      <c r="J47" s="11">
        <v>1</v>
      </c>
      <c r="K47" s="11">
        <v>128</v>
      </c>
      <c r="L47" s="11">
        <v>237</v>
      </c>
      <c r="M47" s="11">
        <v>28</v>
      </c>
      <c r="N47" s="11">
        <f t="shared" si="0"/>
        <v>954</v>
      </c>
      <c r="O47" s="92">
        <f t="shared" si="5"/>
        <v>578</v>
      </c>
      <c r="P47" s="40"/>
      <c r="Q47" s="104" t="str">
        <f t="shared" si="2"/>
        <v>May</v>
      </c>
      <c r="R47" s="106">
        <f t="shared" si="3"/>
        <v>954</v>
      </c>
      <c r="S47" s="106">
        <f t="shared" si="4"/>
        <v>578</v>
      </c>
      <c r="T47" s="2"/>
      <c r="U47" s="2"/>
      <c r="V47" s="2"/>
      <c r="W47" s="2"/>
    </row>
    <row r="48" spans="1:23" customFormat="1" ht="15.65" customHeight="1" x14ac:dyDescent="0.3">
      <c r="A48" s="124"/>
      <c r="B48" s="126"/>
      <c r="C48" s="79" t="s">
        <v>14</v>
      </c>
      <c r="D48" s="9" t="s">
        <v>9</v>
      </c>
      <c r="E48" s="10">
        <v>46160.861111111109</v>
      </c>
      <c r="F48" s="10">
        <v>46162.702777777777</v>
      </c>
      <c r="G48" s="11">
        <v>132</v>
      </c>
      <c r="H48" s="11">
        <v>113</v>
      </c>
      <c r="I48" s="11">
        <v>52</v>
      </c>
      <c r="J48" s="11">
        <v>32</v>
      </c>
      <c r="K48" s="11">
        <v>2</v>
      </c>
      <c r="L48" s="11">
        <v>70</v>
      </c>
      <c r="M48" s="11">
        <v>14</v>
      </c>
      <c r="N48" s="11">
        <f t="shared" si="0"/>
        <v>616</v>
      </c>
      <c r="O48" s="92">
        <f t="shared" si="5"/>
        <v>401</v>
      </c>
      <c r="P48" s="40"/>
      <c r="Q48" s="104" t="str">
        <f t="shared" si="2"/>
        <v>May</v>
      </c>
      <c r="R48" s="106">
        <f t="shared" si="3"/>
        <v>616</v>
      </c>
      <c r="S48" s="106">
        <f t="shared" si="4"/>
        <v>401</v>
      </c>
      <c r="T48" s="2"/>
      <c r="U48" s="2"/>
      <c r="V48" s="2"/>
      <c r="W48" s="2"/>
    </row>
    <row r="49" spans="1:23" customFormat="1" ht="15.65" customHeight="1" x14ac:dyDescent="0.3">
      <c r="A49" s="124"/>
      <c r="B49" s="126"/>
      <c r="C49" s="79" t="s">
        <v>26</v>
      </c>
      <c r="D49" s="9" t="s">
        <v>2</v>
      </c>
      <c r="E49" s="10">
        <v>46162.9375</v>
      </c>
      <c r="F49" s="10">
        <v>46167.395833333336</v>
      </c>
      <c r="G49" s="11">
        <v>140</v>
      </c>
      <c r="H49" s="11">
        <v>198</v>
      </c>
      <c r="I49" s="11">
        <v>28</v>
      </c>
      <c r="J49" s="11">
        <v>24</v>
      </c>
      <c r="K49" s="11">
        <v>86</v>
      </c>
      <c r="L49" s="11">
        <v>10</v>
      </c>
      <c r="M49" s="11">
        <v>28</v>
      </c>
      <c r="N49" s="11">
        <f t="shared" si="0"/>
        <v>718</v>
      </c>
      <c r="O49" s="92">
        <f t="shared" si="5"/>
        <v>486</v>
      </c>
      <c r="P49" s="40"/>
      <c r="Q49" s="104" t="str">
        <f t="shared" si="2"/>
        <v>May</v>
      </c>
      <c r="R49" s="106">
        <f t="shared" si="3"/>
        <v>718</v>
      </c>
      <c r="S49" s="106">
        <f t="shared" si="4"/>
        <v>486</v>
      </c>
      <c r="T49" s="2"/>
      <c r="U49" s="2"/>
      <c r="V49" s="2"/>
      <c r="W49" s="2"/>
    </row>
    <row r="50" spans="1:23" customFormat="1" ht="15.65" customHeight="1" x14ac:dyDescent="0.3">
      <c r="A50" s="124"/>
      <c r="B50" s="126"/>
      <c r="C50" s="84" t="s">
        <v>59</v>
      </c>
      <c r="D50" s="17" t="s">
        <v>5</v>
      </c>
      <c r="E50" s="18">
        <v>46164.712500000001</v>
      </c>
      <c r="F50" s="18">
        <v>46167.566666666666</v>
      </c>
      <c r="G50" s="19">
        <v>275</v>
      </c>
      <c r="H50" s="19">
        <v>81</v>
      </c>
      <c r="I50" s="19">
        <v>15</v>
      </c>
      <c r="J50" s="19">
        <v>84</v>
      </c>
      <c r="K50" s="19">
        <v>198</v>
      </c>
      <c r="L50" s="19">
        <v>78</v>
      </c>
      <c r="M50" s="19">
        <v>28</v>
      </c>
      <c r="N50" s="19">
        <f t="shared" si="0"/>
        <v>974</v>
      </c>
      <c r="O50" s="93">
        <f t="shared" si="5"/>
        <v>731</v>
      </c>
      <c r="P50" s="41"/>
      <c r="Q50" s="104" t="str">
        <f t="shared" si="2"/>
        <v>May</v>
      </c>
      <c r="R50" s="106">
        <f t="shared" si="3"/>
        <v>974</v>
      </c>
      <c r="S50" s="106">
        <f t="shared" si="4"/>
        <v>731</v>
      </c>
      <c r="T50" s="2"/>
      <c r="U50" s="2"/>
      <c r="V50" s="2"/>
      <c r="W50" s="2"/>
    </row>
    <row r="51" spans="1:23" customFormat="1" ht="15.65" customHeight="1" thickBot="1" x14ac:dyDescent="0.35">
      <c r="A51" s="124"/>
      <c r="B51" s="126"/>
      <c r="C51" s="84" t="s">
        <v>25</v>
      </c>
      <c r="D51" s="17" t="s">
        <v>9</v>
      </c>
      <c r="E51" s="18">
        <v>46170.54583333333</v>
      </c>
      <c r="F51" s="18">
        <v>46173.470833333333</v>
      </c>
      <c r="G51" s="19">
        <v>84</v>
      </c>
      <c r="H51" s="19">
        <v>73</v>
      </c>
      <c r="I51" s="19">
        <v>57</v>
      </c>
      <c r="J51" s="19">
        <v>1</v>
      </c>
      <c r="K51" s="19">
        <v>32</v>
      </c>
      <c r="L51" s="19">
        <v>134</v>
      </c>
      <c r="M51" s="19">
        <v>20</v>
      </c>
      <c r="N51" s="19">
        <f t="shared" si="0"/>
        <v>589</v>
      </c>
      <c r="O51" s="93">
        <f t="shared" si="5"/>
        <v>381</v>
      </c>
      <c r="P51" s="41"/>
      <c r="Q51" s="104" t="str">
        <f t="shared" si="2"/>
        <v>May</v>
      </c>
      <c r="R51" s="106">
        <f t="shared" si="3"/>
        <v>589</v>
      </c>
      <c r="S51" s="106">
        <f t="shared" si="4"/>
        <v>381</v>
      </c>
      <c r="T51" s="2"/>
      <c r="U51" s="2"/>
      <c r="V51" s="2"/>
      <c r="W51" s="2"/>
    </row>
    <row r="52" spans="1:23" customFormat="1" ht="15.65" customHeight="1" x14ac:dyDescent="0.3">
      <c r="A52" s="127" t="s">
        <v>86</v>
      </c>
      <c r="B52" s="129">
        <f>COUNTA(C52:C64)</f>
        <v>13</v>
      </c>
      <c r="C52" s="86" t="s">
        <v>60</v>
      </c>
      <c r="D52" s="87" t="s">
        <v>2</v>
      </c>
      <c r="E52" s="88">
        <v>46170.479166666664</v>
      </c>
      <c r="F52" s="88">
        <v>46175.083333333336</v>
      </c>
      <c r="G52" s="89">
        <v>166</v>
      </c>
      <c r="H52" s="89">
        <v>341</v>
      </c>
      <c r="I52" s="89">
        <v>90</v>
      </c>
      <c r="J52" s="89">
        <v>151</v>
      </c>
      <c r="K52" s="89">
        <v>17</v>
      </c>
      <c r="L52" s="89">
        <v>241</v>
      </c>
      <c r="M52" s="89">
        <v>26</v>
      </c>
      <c r="N52" s="89">
        <f t="shared" si="0"/>
        <v>1739</v>
      </c>
      <c r="O52" s="94">
        <f t="shared" si="5"/>
        <v>1006</v>
      </c>
      <c r="P52" s="97">
        <f>SUM(N52:N64)</f>
        <v>15639</v>
      </c>
      <c r="Q52" s="104" t="str">
        <f t="shared" si="2"/>
        <v>June</v>
      </c>
      <c r="R52" s="106">
        <f t="shared" si="3"/>
        <v>1739</v>
      </c>
      <c r="S52" s="106">
        <f t="shared" si="4"/>
        <v>1006</v>
      </c>
      <c r="T52" s="2"/>
      <c r="U52" s="2"/>
      <c r="V52" s="2"/>
      <c r="W52" s="2"/>
    </row>
    <row r="53" spans="1:23" customFormat="1" ht="15.65" customHeight="1" x14ac:dyDescent="0.3">
      <c r="A53" s="128"/>
      <c r="B53" s="130"/>
      <c r="C53" s="85" t="s">
        <v>21</v>
      </c>
      <c r="D53" s="13" t="s">
        <v>2</v>
      </c>
      <c r="E53" s="14">
        <v>46173.833333333336</v>
      </c>
      <c r="F53" s="14">
        <v>46181.470833333333</v>
      </c>
      <c r="G53" s="15">
        <v>134</v>
      </c>
      <c r="H53" s="15">
        <v>383</v>
      </c>
      <c r="I53" s="15">
        <v>85</v>
      </c>
      <c r="J53" s="15">
        <v>59</v>
      </c>
      <c r="K53" s="15">
        <v>68</v>
      </c>
      <c r="L53" s="15">
        <v>304</v>
      </c>
      <c r="M53" s="15">
        <v>28</v>
      </c>
      <c r="N53" s="15">
        <f t="shared" si="0"/>
        <v>1779</v>
      </c>
      <c r="O53" s="95">
        <f t="shared" si="5"/>
        <v>1033</v>
      </c>
      <c r="P53" s="40"/>
      <c r="Q53" s="104" t="str">
        <f t="shared" si="2"/>
        <v>June</v>
      </c>
      <c r="R53" s="106">
        <f t="shared" si="3"/>
        <v>1779</v>
      </c>
      <c r="S53" s="106">
        <f t="shared" si="4"/>
        <v>1033</v>
      </c>
      <c r="T53" s="2"/>
      <c r="U53" s="2"/>
      <c r="V53" s="2"/>
      <c r="W53" s="2"/>
    </row>
    <row r="54" spans="1:23" customFormat="1" ht="15.65" customHeight="1" x14ac:dyDescent="0.3">
      <c r="A54" s="128"/>
      <c r="B54" s="130"/>
      <c r="C54" s="85" t="s">
        <v>54</v>
      </c>
      <c r="D54" s="13" t="s">
        <v>5</v>
      </c>
      <c r="E54" s="14">
        <v>46175.166666666664</v>
      </c>
      <c r="F54" s="14">
        <v>46180.788888888892</v>
      </c>
      <c r="G54" s="15">
        <v>220</v>
      </c>
      <c r="H54" s="15">
        <v>191</v>
      </c>
      <c r="I54" s="15">
        <v>0</v>
      </c>
      <c r="J54" s="15">
        <v>0</v>
      </c>
      <c r="K54" s="15">
        <v>0</v>
      </c>
      <c r="L54" s="15">
        <v>30</v>
      </c>
      <c r="M54" s="15">
        <v>22</v>
      </c>
      <c r="N54" s="15">
        <f t="shared" si="0"/>
        <v>662</v>
      </c>
      <c r="O54" s="95">
        <f t="shared" si="5"/>
        <v>441</v>
      </c>
      <c r="P54" s="40"/>
      <c r="Q54" s="104" t="str">
        <f t="shared" si="2"/>
        <v>June</v>
      </c>
      <c r="R54" s="106">
        <f t="shared" si="3"/>
        <v>662</v>
      </c>
      <c r="S54" s="106">
        <f t="shared" si="4"/>
        <v>441</v>
      </c>
      <c r="T54" s="2"/>
      <c r="U54" s="2"/>
      <c r="V54" s="2"/>
      <c r="W54" s="2"/>
    </row>
    <row r="55" spans="1:23" customFormat="1" ht="15.65" customHeight="1" x14ac:dyDescent="0.3">
      <c r="A55" s="128"/>
      <c r="B55" s="130"/>
      <c r="C55" s="85" t="s">
        <v>52</v>
      </c>
      <c r="D55" s="13" t="s">
        <v>13</v>
      </c>
      <c r="E55" s="14">
        <v>46180.861111111109</v>
      </c>
      <c r="F55" s="14">
        <v>46183.59375</v>
      </c>
      <c r="G55" s="15">
        <v>108</v>
      </c>
      <c r="H55" s="15">
        <v>299</v>
      </c>
      <c r="I55" s="15">
        <v>16</v>
      </c>
      <c r="J55" s="15">
        <v>28</v>
      </c>
      <c r="K55" s="15">
        <v>127</v>
      </c>
      <c r="L55" s="15">
        <v>190</v>
      </c>
      <c r="M55" s="15">
        <v>20</v>
      </c>
      <c r="N55" s="15">
        <f t="shared" si="0"/>
        <v>1285</v>
      </c>
      <c r="O55" s="95">
        <f t="shared" si="5"/>
        <v>768</v>
      </c>
      <c r="P55" s="40"/>
      <c r="Q55" s="104" t="str">
        <f t="shared" si="2"/>
        <v>June</v>
      </c>
      <c r="R55" s="106">
        <f t="shared" si="3"/>
        <v>1285</v>
      </c>
      <c r="S55" s="106">
        <f t="shared" si="4"/>
        <v>768</v>
      </c>
      <c r="T55" s="2"/>
      <c r="U55" s="2"/>
      <c r="V55" s="2"/>
      <c r="W55" s="2"/>
    </row>
    <row r="56" spans="1:23" customFormat="1" ht="15.65" customHeight="1" x14ac:dyDescent="0.3">
      <c r="A56" s="128"/>
      <c r="B56" s="130"/>
      <c r="C56" s="85" t="s">
        <v>16</v>
      </c>
      <c r="D56" s="13" t="s">
        <v>2</v>
      </c>
      <c r="E56" s="14">
        <v>46183.746527777781</v>
      </c>
      <c r="F56" s="14">
        <v>46186.833333333336</v>
      </c>
      <c r="G56" s="15">
        <v>66</v>
      </c>
      <c r="H56" s="15">
        <v>355</v>
      </c>
      <c r="I56" s="15">
        <v>52</v>
      </c>
      <c r="J56" s="15">
        <v>83</v>
      </c>
      <c r="K56" s="15">
        <v>32</v>
      </c>
      <c r="L56" s="15">
        <v>266</v>
      </c>
      <c r="M56" s="15">
        <v>26</v>
      </c>
      <c r="N56" s="15">
        <f t="shared" si="0"/>
        <v>1558</v>
      </c>
      <c r="O56" s="95">
        <f t="shared" si="5"/>
        <v>854</v>
      </c>
      <c r="P56" s="40"/>
      <c r="Q56" s="104" t="str">
        <f t="shared" si="2"/>
        <v>June</v>
      </c>
      <c r="R56" s="106">
        <f t="shared" si="3"/>
        <v>1558</v>
      </c>
      <c r="S56" s="106">
        <f t="shared" si="4"/>
        <v>854</v>
      </c>
      <c r="T56" s="2"/>
      <c r="U56" s="2"/>
      <c r="V56" s="2"/>
      <c r="W56" s="2"/>
    </row>
    <row r="57" spans="1:23" customFormat="1" ht="15.65" customHeight="1" x14ac:dyDescent="0.3">
      <c r="A57" s="128"/>
      <c r="B57" s="130"/>
      <c r="C57" s="85" t="s">
        <v>59</v>
      </c>
      <c r="D57" s="13" t="s">
        <v>5</v>
      </c>
      <c r="E57" s="14">
        <v>46186.974305555559</v>
      </c>
      <c r="F57" s="14">
        <v>46190.364583333336</v>
      </c>
      <c r="G57" s="15">
        <v>269</v>
      </c>
      <c r="H57" s="15">
        <v>53</v>
      </c>
      <c r="I57" s="15">
        <v>11</v>
      </c>
      <c r="J57" s="15">
        <v>74</v>
      </c>
      <c r="K57" s="15">
        <v>317</v>
      </c>
      <c r="L57" s="15">
        <v>74</v>
      </c>
      <c r="M57" s="15">
        <v>28</v>
      </c>
      <c r="N57" s="15">
        <f t="shared" si="0"/>
        <v>999</v>
      </c>
      <c r="O57" s="95">
        <f t="shared" si="5"/>
        <v>798</v>
      </c>
      <c r="P57" s="40"/>
      <c r="Q57" s="104" t="str">
        <f t="shared" si="2"/>
        <v>June</v>
      </c>
      <c r="R57" s="106">
        <f t="shared" si="3"/>
        <v>999</v>
      </c>
      <c r="S57" s="106">
        <f t="shared" si="4"/>
        <v>798</v>
      </c>
      <c r="T57" s="2"/>
      <c r="U57" s="2"/>
      <c r="V57" s="2"/>
      <c r="W57" s="2"/>
    </row>
    <row r="58" spans="1:23" customFormat="1" ht="15.65" customHeight="1" x14ac:dyDescent="0.3">
      <c r="A58" s="128"/>
      <c r="B58" s="130"/>
      <c r="C58" s="85" t="s">
        <v>62</v>
      </c>
      <c r="D58" s="13" t="s">
        <v>9</v>
      </c>
      <c r="E58" s="14">
        <v>46186.883333333331</v>
      </c>
      <c r="F58" s="14">
        <v>46190.701388888891</v>
      </c>
      <c r="G58" s="15">
        <v>195</v>
      </c>
      <c r="H58" s="15">
        <v>219</v>
      </c>
      <c r="I58" s="15">
        <v>51</v>
      </c>
      <c r="J58" s="15">
        <v>3</v>
      </c>
      <c r="K58" s="15">
        <v>76</v>
      </c>
      <c r="L58" s="15">
        <v>119</v>
      </c>
      <c r="M58" s="15">
        <v>28</v>
      </c>
      <c r="N58" s="15">
        <f t="shared" si="0"/>
        <v>1004</v>
      </c>
      <c r="O58" s="95">
        <f t="shared" si="5"/>
        <v>663</v>
      </c>
      <c r="P58" s="40"/>
      <c r="Q58" s="104" t="str">
        <f t="shared" si="2"/>
        <v>June</v>
      </c>
      <c r="R58" s="106">
        <f t="shared" si="3"/>
        <v>1004</v>
      </c>
      <c r="S58" s="106">
        <f t="shared" si="4"/>
        <v>663</v>
      </c>
      <c r="T58" s="2"/>
      <c r="U58" s="2"/>
      <c r="V58" s="2"/>
      <c r="W58" s="2"/>
    </row>
    <row r="59" spans="1:23" customFormat="1" ht="15.65" customHeight="1" x14ac:dyDescent="0.3">
      <c r="A59" s="128"/>
      <c r="B59" s="130"/>
      <c r="C59" s="85" t="s">
        <v>24</v>
      </c>
      <c r="D59" s="13" t="s">
        <v>5</v>
      </c>
      <c r="E59" s="14">
        <v>46190.479166666664</v>
      </c>
      <c r="F59" s="14">
        <v>46193.701388888891</v>
      </c>
      <c r="G59" s="15">
        <v>240</v>
      </c>
      <c r="H59" s="15">
        <v>134</v>
      </c>
      <c r="I59" s="15">
        <v>34</v>
      </c>
      <c r="J59" s="15">
        <v>16</v>
      </c>
      <c r="K59" s="15">
        <v>257</v>
      </c>
      <c r="L59" s="15">
        <v>16</v>
      </c>
      <c r="M59" s="15">
        <v>0</v>
      </c>
      <c r="N59" s="15">
        <f t="shared" si="0"/>
        <v>863</v>
      </c>
      <c r="O59" s="95">
        <f>SUM(G59:L59)</f>
        <v>697</v>
      </c>
      <c r="P59" s="40"/>
      <c r="Q59" s="104" t="str">
        <f t="shared" si="2"/>
        <v>June</v>
      </c>
      <c r="R59" s="106">
        <f t="shared" si="3"/>
        <v>863</v>
      </c>
      <c r="S59" s="106">
        <f t="shared" si="4"/>
        <v>697</v>
      </c>
      <c r="T59" s="2"/>
      <c r="U59" s="2"/>
      <c r="V59" s="2"/>
      <c r="W59" s="2"/>
    </row>
    <row r="60" spans="1:23" customFormat="1" ht="15.65" customHeight="1" x14ac:dyDescent="0.3">
      <c r="A60" s="128"/>
      <c r="B60" s="130"/>
      <c r="C60" s="85" t="s">
        <v>14</v>
      </c>
      <c r="D60" s="13" t="s">
        <v>9</v>
      </c>
      <c r="E60" s="14">
        <v>46190.791666666664</v>
      </c>
      <c r="F60" s="14">
        <v>46192.944444444445</v>
      </c>
      <c r="G60" s="15">
        <v>142</v>
      </c>
      <c r="H60" s="15">
        <v>99</v>
      </c>
      <c r="I60" s="15">
        <v>1</v>
      </c>
      <c r="J60" s="15">
        <v>0</v>
      </c>
      <c r="K60" s="15">
        <v>66</v>
      </c>
      <c r="L60" s="15">
        <v>75</v>
      </c>
      <c r="M60" s="15">
        <v>10</v>
      </c>
      <c r="N60" s="15">
        <f t="shared" si="0"/>
        <v>557</v>
      </c>
      <c r="O60" s="95">
        <f t="shared" si="5"/>
        <v>383</v>
      </c>
      <c r="P60" s="40"/>
      <c r="Q60" s="104" t="str">
        <f t="shared" si="2"/>
        <v>June</v>
      </c>
      <c r="R60" s="106">
        <f t="shared" si="3"/>
        <v>557</v>
      </c>
      <c r="S60" s="106">
        <f t="shared" si="4"/>
        <v>383</v>
      </c>
      <c r="T60" s="2"/>
      <c r="U60" s="2"/>
      <c r="V60" s="2"/>
      <c r="W60" s="2"/>
    </row>
    <row r="61" spans="1:23" customFormat="1" ht="15.65" customHeight="1" x14ac:dyDescent="0.3">
      <c r="A61" s="128"/>
      <c r="B61" s="130"/>
      <c r="C61" s="85" t="s">
        <v>60</v>
      </c>
      <c r="D61" s="13" t="s">
        <v>2</v>
      </c>
      <c r="E61" s="14">
        <v>46193.029166666667</v>
      </c>
      <c r="F61" s="14">
        <v>46197.491666666669</v>
      </c>
      <c r="G61" s="15">
        <v>214</v>
      </c>
      <c r="H61" s="15">
        <v>318</v>
      </c>
      <c r="I61" s="15">
        <v>163</v>
      </c>
      <c r="J61" s="15">
        <v>159</v>
      </c>
      <c r="K61" s="15">
        <v>1</v>
      </c>
      <c r="L61" s="15">
        <v>194</v>
      </c>
      <c r="M61" s="15">
        <v>26</v>
      </c>
      <c r="N61" s="15">
        <f t="shared" si="0"/>
        <v>1720</v>
      </c>
      <c r="O61" s="95">
        <f>SUM(G61:L61)</f>
        <v>1049</v>
      </c>
      <c r="P61" s="40"/>
      <c r="Q61" s="104" t="str">
        <f t="shared" si="2"/>
        <v>June</v>
      </c>
      <c r="R61" s="106">
        <f t="shared" si="3"/>
        <v>1720</v>
      </c>
      <c r="S61" s="106">
        <f t="shared" si="4"/>
        <v>1049</v>
      </c>
      <c r="T61" s="2"/>
      <c r="U61" s="2"/>
      <c r="V61" s="2"/>
      <c r="W61" s="2"/>
    </row>
    <row r="62" spans="1:23" customFormat="1" ht="15.65" customHeight="1" x14ac:dyDescent="0.3">
      <c r="A62" s="128"/>
      <c r="B62" s="130"/>
      <c r="C62" s="85" t="s">
        <v>25</v>
      </c>
      <c r="D62" s="13" t="s">
        <v>9</v>
      </c>
      <c r="E62" s="14">
        <v>46196.114583333336</v>
      </c>
      <c r="F62" s="14">
        <v>46198.302083333336</v>
      </c>
      <c r="G62" s="15">
        <v>129</v>
      </c>
      <c r="H62" s="15">
        <v>125</v>
      </c>
      <c r="I62" s="15">
        <v>10</v>
      </c>
      <c r="J62" s="15">
        <v>4</v>
      </c>
      <c r="K62" s="15">
        <v>106</v>
      </c>
      <c r="L62" s="15">
        <v>112</v>
      </c>
      <c r="M62" s="15">
        <v>12</v>
      </c>
      <c r="N62" s="15">
        <f t="shared" si="0"/>
        <v>727</v>
      </c>
      <c r="O62" s="95">
        <f t="shared" si="5"/>
        <v>486</v>
      </c>
      <c r="P62" s="40"/>
      <c r="Q62" s="104" t="str">
        <f t="shared" si="2"/>
        <v>June</v>
      </c>
      <c r="R62" s="106">
        <f t="shared" si="3"/>
        <v>727</v>
      </c>
      <c r="S62" s="106">
        <f t="shared" si="4"/>
        <v>486</v>
      </c>
      <c r="T62" s="2"/>
      <c r="U62" s="2"/>
      <c r="V62" s="2"/>
      <c r="W62" s="2"/>
    </row>
    <row r="63" spans="1:23" customFormat="1" ht="15.65" customHeight="1" x14ac:dyDescent="0.3">
      <c r="A63" s="128"/>
      <c r="B63" s="130"/>
      <c r="C63" s="90" t="s">
        <v>21</v>
      </c>
      <c r="D63" s="29" t="s">
        <v>2</v>
      </c>
      <c r="E63" s="30">
        <v>46197.645833333336</v>
      </c>
      <c r="F63" s="30">
        <v>46203.4</v>
      </c>
      <c r="G63" s="31">
        <v>237</v>
      </c>
      <c r="H63" s="31">
        <v>312</v>
      </c>
      <c r="I63" s="31">
        <v>60</v>
      </c>
      <c r="J63" s="31">
        <v>7</v>
      </c>
      <c r="K63" s="31">
        <v>69</v>
      </c>
      <c r="L63" s="31">
        <v>402</v>
      </c>
      <c r="M63" s="31">
        <v>28</v>
      </c>
      <c r="N63" s="31">
        <f t="shared" si="0"/>
        <v>1808</v>
      </c>
      <c r="O63" s="96">
        <f t="shared" si="5"/>
        <v>1087</v>
      </c>
      <c r="P63" s="41"/>
      <c r="Q63" s="104" t="str">
        <f t="shared" si="2"/>
        <v>June</v>
      </c>
      <c r="R63" s="106">
        <f t="shared" si="3"/>
        <v>1808</v>
      </c>
      <c r="S63" s="106">
        <f t="shared" si="4"/>
        <v>1087</v>
      </c>
      <c r="T63" s="2"/>
      <c r="U63" s="2"/>
      <c r="V63" s="2"/>
      <c r="W63" s="2"/>
    </row>
    <row r="64" spans="1:23" customFormat="1" ht="15.65" customHeight="1" thickBot="1" x14ac:dyDescent="0.35">
      <c r="A64" s="128"/>
      <c r="B64" s="130"/>
      <c r="C64" s="90" t="s">
        <v>52</v>
      </c>
      <c r="D64" s="29" t="s">
        <v>13</v>
      </c>
      <c r="E64" s="30">
        <v>46198.375</v>
      </c>
      <c r="F64" s="30">
        <v>46200.861111111109</v>
      </c>
      <c r="G64" s="31">
        <v>34</v>
      </c>
      <c r="H64" s="31">
        <v>178</v>
      </c>
      <c r="I64" s="31">
        <v>10</v>
      </c>
      <c r="J64" s="31">
        <v>22</v>
      </c>
      <c r="K64" s="31">
        <v>72</v>
      </c>
      <c r="L64" s="31">
        <v>211</v>
      </c>
      <c r="M64" s="31">
        <v>12</v>
      </c>
      <c r="N64" s="31">
        <f t="shared" si="0"/>
        <v>938</v>
      </c>
      <c r="O64" s="96">
        <f t="shared" si="5"/>
        <v>527</v>
      </c>
      <c r="P64" s="41"/>
      <c r="Q64" s="104" t="str">
        <f t="shared" si="2"/>
        <v>June</v>
      </c>
      <c r="R64" s="106">
        <f t="shared" si="3"/>
        <v>938</v>
      </c>
      <c r="S64" s="106">
        <f t="shared" si="4"/>
        <v>527</v>
      </c>
      <c r="T64" s="2"/>
      <c r="U64" s="2"/>
      <c r="V64" s="2"/>
      <c r="W64" s="2"/>
    </row>
    <row r="65" spans="1:23" customFormat="1" ht="15.65" customHeight="1" x14ac:dyDescent="0.3">
      <c r="A65" s="123" t="s">
        <v>87</v>
      </c>
      <c r="B65" s="125">
        <f>COUNTA(C65:C71)</f>
        <v>7</v>
      </c>
      <c r="C65" s="80" t="s">
        <v>59</v>
      </c>
      <c r="D65" s="81" t="s">
        <v>5</v>
      </c>
      <c r="E65" s="82">
        <v>46203.548611111109</v>
      </c>
      <c r="F65" s="82">
        <v>46209.941666666666</v>
      </c>
      <c r="G65" s="83">
        <v>294</v>
      </c>
      <c r="H65" s="83">
        <v>63</v>
      </c>
      <c r="I65" s="83">
        <v>76</v>
      </c>
      <c r="J65" s="83">
        <v>177</v>
      </c>
      <c r="K65" s="83">
        <v>255</v>
      </c>
      <c r="L65" s="83">
        <v>15</v>
      </c>
      <c r="M65" s="83">
        <v>28</v>
      </c>
      <c r="N65" s="83">
        <f t="shared" si="0"/>
        <v>1135</v>
      </c>
      <c r="O65" s="91">
        <f t="shared" si="5"/>
        <v>880</v>
      </c>
      <c r="P65" s="97">
        <f>SUM(N65:N71)</f>
        <v>8283</v>
      </c>
      <c r="Q65" s="104" t="str">
        <f t="shared" si="2"/>
        <v>July</v>
      </c>
      <c r="R65" s="106">
        <f t="shared" si="3"/>
        <v>1135</v>
      </c>
      <c r="S65" s="106">
        <f t="shared" si="4"/>
        <v>880</v>
      </c>
      <c r="T65" s="2"/>
      <c r="U65" s="2"/>
      <c r="V65" s="2"/>
      <c r="W65" s="2"/>
    </row>
    <row r="66" spans="1:23" customFormat="1" ht="15.65" customHeight="1" x14ac:dyDescent="0.3">
      <c r="A66" s="124"/>
      <c r="B66" s="126"/>
      <c r="C66" s="79" t="s">
        <v>16</v>
      </c>
      <c r="D66" s="9" t="s">
        <v>2</v>
      </c>
      <c r="E66" s="10">
        <v>46213.473611111112</v>
      </c>
      <c r="F66" s="10">
        <v>46216.520833333336</v>
      </c>
      <c r="G66" s="11">
        <v>98</v>
      </c>
      <c r="H66" s="11">
        <v>303</v>
      </c>
      <c r="I66" s="11">
        <v>64</v>
      </c>
      <c r="J66" s="11">
        <v>132</v>
      </c>
      <c r="K66" s="11">
        <v>194</v>
      </c>
      <c r="L66" s="11">
        <v>116</v>
      </c>
      <c r="M66" s="11">
        <v>26</v>
      </c>
      <c r="N66" s="11">
        <f t="shared" si="0"/>
        <v>1458</v>
      </c>
      <c r="O66" s="92">
        <f>SUM(G66:L66)</f>
        <v>907</v>
      </c>
      <c r="P66" s="40"/>
      <c r="Q66" s="104" t="str">
        <f t="shared" si="2"/>
        <v>July</v>
      </c>
      <c r="R66" s="106">
        <f t="shared" si="3"/>
        <v>1458</v>
      </c>
      <c r="S66" s="106">
        <f t="shared" si="4"/>
        <v>907</v>
      </c>
      <c r="T66" s="2"/>
      <c r="U66" s="2"/>
      <c r="V66" s="2"/>
      <c r="W66" s="2"/>
    </row>
    <row r="67" spans="1:23" customFormat="1" ht="15.65" customHeight="1" x14ac:dyDescent="0.3">
      <c r="A67" s="124"/>
      <c r="B67" s="126"/>
      <c r="C67" s="79" t="s">
        <v>24</v>
      </c>
      <c r="D67" s="9" t="s">
        <v>5</v>
      </c>
      <c r="E67" s="10">
        <v>46216.80972222222</v>
      </c>
      <c r="F67" s="10">
        <v>46219.388888888891</v>
      </c>
      <c r="G67" s="11">
        <v>183</v>
      </c>
      <c r="H67" s="11">
        <v>168</v>
      </c>
      <c r="I67" s="11">
        <v>6</v>
      </c>
      <c r="J67" s="11">
        <v>40</v>
      </c>
      <c r="K67" s="11">
        <v>300</v>
      </c>
      <c r="L67" s="11">
        <v>117</v>
      </c>
      <c r="M67" s="11">
        <v>0</v>
      </c>
      <c r="N67" s="11">
        <f t="shared" si="0"/>
        <v>1139</v>
      </c>
      <c r="O67" s="92">
        <f>SUM(G67:L67)</f>
        <v>814</v>
      </c>
      <c r="P67" s="40"/>
      <c r="Q67" s="104" t="str">
        <f t="shared" si="2"/>
        <v>July</v>
      </c>
      <c r="R67" s="106">
        <f t="shared" si="3"/>
        <v>1139</v>
      </c>
      <c r="S67" s="106">
        <f t="shared" si="4"/>
        <v>814</v>
      </c>
      <c r="T67" s="2"/>
      <c r="U67" s="2"/>
      <c r="V67" s="2"/>
      <c r="W67" s="2"/>
    </row>
    <row r="68" spans="1:23" customFormat="1" ht="15.65" customHeight="1" x14ac:dyDescent="0.3">
      <c r="A68" s="124"/>
      <c r="B68" s="126"/>
      <c r="C68" s="79" t="s">
        <v>60</v>
      </c>
      <c r="D68" s="9" t="s">
        <v>2</v>
      </c>
      <c r="E68" s="10">
        <v>46219.45</v>
      </c>
      <c r="F68" s="10">
        <v>46223.258333333331</v>
      </c>
      <c r="G68" s="11">
        <v>145</v>
      </c>
      <c r="H68" s="11">
        <v>318</v>
      </c>
      <c r="I68" s="11">
        <v>170</v>
      </c>
      <c r="J68" s="11">
        <v>123</v>
      </c>
      <c r="K68" s="11">
        <v>10</v>
      </c>
      <c r="L68" s="11">
        <v>162</v>
      </c>
      <c r="M68" s="11">
        <v>26</v>
      </c>
      <c r="N68" s="11">
        <f t="shared" si="0"/>
        <v>1531</v>
      </c>
      <c r="O68" s="92">
        <f>SUM(G68:L68)</f>
        <v>928</v>
      </c>
      <c r="P68" s="40"/>
      <c r="Q68" s="104" t="str">
        <f t="shared" ref="Q68:Q131" si="6">IF($A68&lt;&gt;"",$A68,Q67)</f>
        <v>July</v>
      </c>
      <c r="R68" s="106">
        <f t="shared" ref="R68:R131" si="7">IF($E68&gt;0,$G68+2*$H68+$I68+2*$J68+$K68+2*$L68,0)</f>
        <v>1531</v>
      </c>
      <c r="S68" s="106">
        <f t="shared" ref="S68:S131" si="8">IF($E68&gt;0,SUM($G68:$L68),0)</f>
        <v>928</v>
      </c>
      <c r="T68" s="2"/>
      <c r="U68" s="2"/>
      <c r="V68" s="2"/>
      <c r="W68" s="2"/>
    </row>
    <row r="69" spans="1:23" customFormat="1" ht="15.65" customHeight="1" x14ac:dyDescent="0.3">
      <c r="A69" s="124"/>
      <c r="B69" s="126"/>
      <c r="C69" s="79" t="s">
        <v>23</v>
      </c>
      <c r="D69" s="9" t="s">
        <v>2</v>
      </c>
      <c r="E69" s="10">
        <v>46223.489583333336</v>
      </c>
      <c r="F69" s="10">
        <v>46229</v>
      </c>
      <c r="G69" s="11">
        <v>121</v>
      </c>
      <c r="H69" s="11">
        <v>229</v>
      </c>
      <c r="I69" s="11">
        <v>72</v>
      </c>
      <c r="J69" s="11">
        <v>207</v>
      </c>
      <c r="K69" s="11">
        <v>14</v>
      </c>
      <c r="L69" s="11">
        <v>5</v>
      </c>
      <c r="M69" s="11">
        <v>8</v>
      </c>
      <c r="N69" s="11">
        <f t="shared" si="0"/>
        <v>1089</v>
      </c>
      <c r="O69" s="92">
        <f>SUM(G69:L69)</f>
        <v>648</v>
      </c>
      <c r="P69" s="40"/>
      <c r="Q69" s="104" t="str">
        <f t="shared" si="6"/>
        <v>July</v>
      </c>
      <c r="R69" s="106">
        <f t="shared" si="7"/>
        <v>1089</v>
      </c>
      <c r="S69" s="106">
        <f t="shared" si="8"/>
        <v>648</v>
      </c>
      <c r="T69" s="2"/>
      <c r="U69" s="2"/>
      <c r="V69" s="2"/>
      <c r="W69" s="2"/>
    </row>
    <row r="70" spans="1:23" customFormat="1" ht="15.65" customHeight="1" x14ac:dyDescent="0.3">
      <c r="A70" s="124"/>
      <c r="B70" s="126"/>
      <c r="C70" s="84" t="s">
        <v>25</v>
      </c>
      <c r="D70" s="17" t="s">
        <v>9</v>
      </c>
      <c r="E70" s="18">
        <v>46229</v>
      </c>
      <c r="F70" s="18">
        <v>46234</v>
      </c>
      <c r="G70" s="19">
        <v>228</v>
      </c>
      <c r="H70" s="19">
        <v>224</v>
      </c>
      <c r="I70" s="19">
        <v>46</v>
      </c>
      <c r="J70" s="19">
        <v>12</v>
      </c>
      <c r="K70" s="19">
        <v>206</v>
      </c>
      <c r="L70" s="19">
        <v>212</v>
      </c>
      <c r="M70" s="19">
        <v>20</v>
      </c>
      <c r="N70" s="19">
        <f t="shared" si="0"/>
        <v>1376</v>
      </c>
      <c r="O70" s="93">
        <f>SUM(G70:L70)</f>
        <v>928</v>
      </c>
      <c r="P70" s="41"/>
      <c r="Q70" s="104" t="str">
        <f t="shared" si="6"/>
        <v>July</v>
      </c>
      <c r="R70" s="106">
        <f t="shared" si="7"/>
        <v>1376</v>
      </c>
      <c r="S70" s="106">
        <f t="shared" si="8"/>
        <v>928</v>
      </c>
      <c r="T70" s="2"/>
      <c r="U70" s="2"/>
      <c r="V70" s="2"/>
      <c r="W70" s="2"/>
    </row>
    <row r="71" spans="1:23" customFormat="1" ht="13.8" customHeight="1" thickBot="1" x14ac:dyDescent="0.35">
      <c r="A71" s="124"/>
      <c r="B71" s="126"/>
      <c r="C71" s="84" t="s">
        <v>59</v>
      </c>
      <c r="D71" s="17" t="s">
        <v>5</v>
      </c>
      <c r="E71" s="18">
        <v>46224</v>
      </c>
      <c r="F71" s="18">
        <v>46226</v>
      </c>
      <c r="G71" s="19">
        <v>332</v>
      </c>
      <c r="H71" s="19">
        <v>22</v>
      </c>
      <c r="I71" s="19">
        <v>3</v>
      </c>
      <c r="J71" s="19">
        <v>1</v>
      </c>
      <c r="K71" s="19"/>
      <c r="L71" s="19">
        <v>87</v>
      </c>
      <c r="M71" s="19"/>
      <c r="N71" s="19">
        <f t="shared" si="0"/>
        <v>555</v>
      </c>
      <c r="O71" s="93">
        <f t="shared" si="5"/>
        <v>445</v>
      </c>
      <c r="P71" s="41"/>
      <c r="Q71" s="104" t="str">
        <f t="shared" si="6"/>
        <v>July</v>
      </c>
      <c r="R71" s="106">
        <f t="shared" si="7"/>
        <v>555</v>
      </c>
      <c r="S71" s="106">
        <f t="shared" si="8"/>
        <v>445</v>
      </c>
      <c r="T71" s="2"/>
      <c r="U71" s="2"/>
      <c r="V71" s="2"/>
      <c r="W71" s="2"/>
    </row>
    <row r="72" spans="1:23" customFormat="1" ht="15.05" customHeight="1" x14ac:dyDescent="0.3">
      <c r="A72" s="137" t="s">
        <v>88</v>
      </c>
      <c r="B72" s="139">
        <f>COUNTA(C72:C81)</f>
        <v>5</v>
      </c>
      <c r="C72" s="86" t="s">
        <v>16</v>
      </c>
      <c r="D72" s="87" t="s">
        <v>2</v>
      </c>
      <c r="E72" s="88">
        <v>46236</v>
      </c>
      <c r="F72" s="88">
        <v>46240</v>
      </c>
      <c r="G72" s="89">
        <v>198</v>
      </c>
      <c r="H72" s="89">
        <v>241</v>
      </c>
      <c r="I72" s="89">
        <v>74</v>
      </c>
      <c r="J72" s="89">
        <v>75</v>
      </c>
      <c r="K72" s="89">
        <v>118</v>
      </c>
      <c r="L72" s="89">
        <v>228</v>
      </c>
      <c r="M72" s="89">
        <v>26</v>
      </c>
      <c r="N72" s="89">
        <f>IF($E72&gt;0,G72+H72*2+I72+J72*2+K72+L72*2,"")</f>
        <v>1478</v>
      </c>
      <c r="O72" s="94">
        <f>IF($E72&gt;0,SUM(G72:L72),"")</f>
        <v>934</v>
      </c>
      <c r="P72" s="115">
        <f>SUM(N72:N81)</f>
        <v>5724</v>
      </c>
      <c r="Q72" s="104" t="str">
        <f t="shared" si="6"/>
        <v>August</v>
      </c>
      <c r="R72" s="106">
        <f t="shared" si="7"/>
        <v>1478</v>
      </c>
      <c r="S72" s="106">
        <f t="shared" si="8"/>
        <v>934</v>
      </c>
      <c r="T72" s="2"/>
      <c r="U72" s="2"/>
      <c r="V72" s="2"/>
      <c r="W72" s="2"/>
    </row>
    <row r="73" spans="1:23" x14ac:dyDescent="0.3">
      <c r="A73" s="138"/>
      <c r="B73" s="140"/>
      <c r="C73" s="112" t="s">
        <v>24</v>
      </c>
      <c r="D73" s="21" t="s">
        <v>5</v>
      </c>
      <c r="E73" s="22">
        <v>46237</v>
      </c>
      <c r="F73" s="22">
        <v>46240</v>
      </c>
      <c r="G73" s="23">
        <v>282</v>
      </c>
      <c r="H73" s="23">
        <v>125</v>
      </c>
      <c r="I73" s="23">
        <v>4</v>
      </c>
      <c r="J73" s="23">
        <v>5</v>
      </c>
      <c r="K73" s="23">
        <v>523</v>
      </c>
      <c r="L73" s="23">
        <v>79</v>
      </c>
      <c r="M73" s="23"/>
      <c r="N73" s="23">
        <f>IF($E73&gt;0,G73+H73*2+I73+J73*2+K73+L73*2,"")</f>
        <v>1227</v>
      </c>
      <c r="O73" s="113">
        <f t="shared" ref="O73:O121" si="9">IF($E73&gt;0,SUM(G73:L73),"")</f>
        <v>1018</v>
      </c>
      <c r="P73" s="114"/>
      <c r="Q73" s="104" t="str">
        <f t="shared" si="6"/>
        <v>August</v>
      </c>
      <c r="R73" s="106">
        <f t="shared" si="7"/>
        <v>1227</v>
      </c>
      <c r="S73" s="106">
        <f t="shared" si="8"/>
        <v>1018</v>
      </c>
    </row>
    <row r="74" spans="1:23" x14ac:dyDescent="0.3">
      <c r="A74" s="138"/>
      <c r="B74" s="140"/>
      <c r="C74" s="85" t="s">
        <v>25</v>
      </c>
      <c r="D74" s="13" t="s">
        <v>9</v>
      </c>
      <c r="E74" s="14">
        <v>46240</v>
      </c>
      <c r="F74" s="14">
        <v>46243</v>
      </c>
      <c r="G74" s="15">
        <v>149</v>
      </c>
      <c r="H74" s="15">
        <v>136</v>
      </c>
      <c r="I74" s="15">
        <v>5</v>
      </c>
      <c r="J74" s="15">
        <v>6</v>
      </c>
      <c r="K74" s="15">
        <v>68</v>
      </c>
      <c r="L74" s="15">
        <v>177</v>
      </c>
      <c r="M74" s="15">
        <v>14</v>
      </c>
      <c r="N74" s="15">
        <f>IF($E74&gt;0,G74+H74*2+I74+J74*2+K74+L74*2,"")</f>
        <v>860</v>
      </c>
      <c r="O74" s="95">
        <f t="shared" si="9"/>
        <v>541</v>
      </c>
      <c r="P74" s="110"/>
      <c r="Q74" s="104" t="str">
        <f t="shared" si="6"/>
        <v>August</v>
      </c>
      <c r="R74" s="106">
        <f t="shared" si="7"/>
        <v>860</v>
      </c>
      <c r="S74" s="106">
        <f t="shared" si="8"/>
        <v>541</v>
      </c>
    </row>
    <row r="75" spans="1:23" x14ac:dyDescent="0.3">
      <c r="A75" s="138"/>
      <c r="B75" s="140"/>
      <c r="C75" s="85" t="s">
        <v>52</v>
      </c>
      <c r="D75" s="13" t="s">
        <v>13</v>
      </c>
      <c r="E75" s="14">
        <v>46234</v>
      </c>
      <c r="F75" s="14">
        <v>46236</v>
      </c>
      <c r="G75" s="15">
        <v>41</v>
      </c>
      <c r="H75" s="15">
        <v>255</v>
      </c>
      <c r="I75" s="15">
        <v>31</v>
      </c>
      <c r="J75" s="15">
        <v>31</v>
      </c>
      <c r="K75" s="15">
        <v>39</v>
      </c>
      <c r="L75" s="15">
        <v>207</v>
      </c>
      <c r="M75" s="15">
        <v>16</v>
      </c>
      <c r="N75" s="15">
        <f t="shared" ref="N75:N121" si="10">IF($E75&gt;0,G75+H75*2+I75+J75*2+K75+L75*2,"")</f>
        <v>1097</v>
      </c>
      <c r="O75" s="95">
        <f t="shared" si="9"/>
        <v>604</v>
      </c>
      <c r="P75" s="110"/>
      <c r="Q75" s="104" t="str">
        <f t="shared" si="6"/>
        <v>August</v>
      </c>
      <c r="R75" s="106">
        <f t="shared" si="7"/>
        <v>1097</v>
      </c>
      <c r="S75" s="106">
        <f t="shared" si="8"/>
        <v>604</v>
      </c>
    </row>
    <row r="76" spans="1:23" x14ac:dyDescent="0.3">
      <c r="A76" s="138"/>
      <c r="B76" s="140"/>
      <c r="C76" s="85" t="s">
        <v>11</v>
      </c>
      <c r="D76" s="13" t="s">
        <v>2</v>
      </c>
      <c r="E76" s="14">
        <v>46237</v>
      </c>
      <c r="F76" s="14">
        <v>46244</v>
      </c>
      <c r="G76" s="15">
        <v>216</v>
      </c>
      <c r="H76" s="15">
        <v>138</v>
      </c>
      <c r="I76" s="15">
        <v>61</v>
      </c>
      <c r="J76" s="15">
        <v>75</v>
      </c>
      <c r="K76" s="15">
        <v>31</v>
      </c>
      <c r="L76" s="15">
        <v>164</v>
      </c>
      <c r="M76" s="15">
        <v>8</v>
      </c>
      <c r="N76" s="15">
        <f t="shared" si="10"/>
        <v>1062</v>
      </c>
      <c r="O76" s="95">
        <f t="shared" si="9"/>
        <v>685</v>
      </c>
      <c r="P76" s="110"/>
      <c r="Q76" s="104" t="str">
        <f t="shared" si="6"/>
        <v>August</v>
      </c>
      <c r="R76" s="106">
        <f t="shared" si="7"/>
        <v>1062</v>
      </c>
      <c r="S76" s="106">
        <f t="shared" si="8"/>
        <v>685</v>
      </c>
    </row>
    <row r="77" spans="1:23" x14ac:dyDescent="0.3">
      <c r="A77" s="138"/>
      <c r="B77" s="140"/>
      <c r="C77" s="85"/>
      <c r="D77" s="13"/>
      <c r="E77" s="14"/>
      <c r="F77" s="14"/>
      <c r="G77" s="15"/>
      <c r="H77" s="15"/>
      <c r="I77" s="15"/>
      <c r="J77" s="15"/>
      <c r="K77" s="15"/>
      <c r="L77" s="15"/>
      <c r="M77" s="15"/>
      <c r="N77" s="15" t="str">
        <f t="shared" si="10"/>
        <v/>
      </c>
      <c r="O77" s="95" t="str">
        <f t="shared" si="9"/>
        <v/>
      </c>
      <c r="P77" s="110"/>
      <c r="Q77" s="104" t="str">
        <f t="shared" si="6"/>
        <v>August</v>
      </c>
      <c r="R77" s="106">
        <f t="shared" si="7"/>
        <v>0</v>
      </c>
      <c r="S77" s="106">
        <f t="shared" si="8"/>
        <v>0</v>
      </c>
    </row>
    <row r="78" spans="1:23" x14ac:dyDescent="0.3">
      <c r="A78" s="138"/>
      <c r="B78" s="140"/>
      <c r="C78" s="85"/>
      <c r="D78" s="13"/>
      <c r="E78" s="14"/>
      <c r="F78" s="14"/>
      <c r="G78" s="15"/>
      <c r="H78" s="15"/>
      <c r="I78" s="15"/>
      <c r="J78" s="15"/>
      <c r="K78" s="15"/>
      <c r="L78" s="15"/>
      <c r="M78" s="15"/>
      <c r="N78" s="15" t="str">
        <f t="shared" si="10"/>
        <v/>
      </c>
      <c r="O78" s="95" t="str">
        <f t="shared" si="9"/>
        <v/>
      </c>
      <c r="P78" s="110"/>
      <c r="Q78" s="104" t="str">
        <f t="shared" si="6"/>
        <v>August</v>
      </c>
      <c r="R78" s="106">
        <f t="shared" si="7"/>
        <v>0</v>
      </c>
      <c r="S78" s="106">
        <f t="shared" si="8"/>
        <v>0</v>
      </c>
    </row>
    <row r="79" spans="1:23" x14ac:dyDescent="0.3">
      <c r="A79" s="138"/>
      <c r="B79" s="140"/>
      <c r="C79" s="85"/>
      <c r="D79" s="13"/>
      <c r="E79" s="14"/>
      <c r="F79" s="14"/>
      <c r="G79" s="15"/>
      <c r="H79" s="15"/>
      <c r="I79" s="15"/>
      <c r="J79" s="15"/>
      <c r="K79" s="15"/>
      <c r="L79" s="15"/>
      <c r="M79" s="15"/>
      <c r="N79" s="15" t="str">
        <f t="shared" si="10"/>
        <v/>
      </c>
      <c r="O79" s="95" t="str">
        <f t="shared" si="9"/>
        <v/>
      </c>
      <c r="P79" s="110"/>
      <c r="Q79" s="104" t="str">
        <f t="shared" si="6"/>
        <v>August</v>
      </c>
      <c r="R79" s="106">
        <f t="shared" si="7"/>
        <v>0</v>
      </c>
      <c r="S79" s="106">
        <f t="shared" si="8"/>
        <v>0</v>
      </c>
    </row>
    <row r="80" spans="1:23" x14ac:dyDescent="0.3">
      <c r="A80" s="138"/>
      <c r="B80" s="140"/>
      <c r="C80" s="85"/>
      <c r="D80" s="13"/>
      <c r="E80" s="14"/>
      <c r="F80" s="14"/>
      <c r="G80" s="15"/>
      <c r="H80" s="15"/>
      <c r="I80" s="15"/>
      <c r="J80" s="15"/>
      <c r="K80" s="15"/>
      <c r="L80" s="15"/>
      <c r="M80" s="15"/>
      <c r="N80" s="15" t="str">
        <f t="shared" si="10"/>
        <v/>
      </c>
      <c r="O80" s="95" t="str">
        <f t="shared" si="9"/>
        <v/>
      </c>
      <c r="P80" s="110"/>
      <c r="Q80" s="104" t="str">
        <f t="shared" si="6"/>
        <v>August</v>
      </c>
      <c r="R80" s="106">
        <f t="shared" si="7"/>
        <v>0</v>
      </c>
      <c r="S80" s="106">
        <f t="shared" si="8"/>
        <v>0</v>
      </c>
    </row>
    <row r="81" spans="1:19" x14ac:dyDescent="0.3">
      <c r="A81" s="138"/>
      <c r="B81" s="140"/>
      <c r="C81" s="85"/>
      <c r="D81" s="13"/>
      <c r="E81" s="14"/>
      <c r="F81" s="14"/>
      <c r="G81" s="15"/>
      <c r="H81" s="15"/>
      <c r="I81" s="15"/>
      <c r="J81" s="15"/>
      <c r="K81" s="15"/>
      <c r="L81" s="15"/>
      <c r="M81" s="15"/>
      <c r="N81" s="15" t="str">
        <f t="shared" si="10"/>
        <v/>
      </c>
      <c r="O81" s="95" t="str">
        <f t="shared" si="9"/>
        <v/>
      </c>
      <c r="P81" s="110"/>
      <c r="Q81" s="104" t="str">
        <f t="shared" si="6"/>
        <v>August</v>
      </c>
      <c r="R81" s="106">
        <f t="shared" si="7"/>
        <v>0</v>
      </c>
      <c r="S81" s="106">
        <f t="shared" si="8"/>
        <v>0</v>
      </c>
    </row>
    <row r="82" spans="1:19" x14ac:dyDescent="0.3">
      <c r="A82" s="145" t="s">
        <v>89</v>
      </c>
      <c r="B82" s="147">
        <f>COUNTA(C82:C91)</f>
        <v>0</v>
      </c>
      <c r="C82" s="85"/>
      <c r="D82" s="13"/>
      <c r="E82" s="14"/>
      <c r="F82" s="14"/>
      <c r="G82" s="15"/>
      <c r="H82" s="15"/>
      <c r="I82" s="15"/>
      <c r="J82" s="15"/>
      <c r="K82" s="15"/>
      <c r="L82" s="15"/>
      <c r="M82" s="15"/>
      <c r="N82" s="15" t="str">
        <f t="shared" si="10"/>
        <v/>
      </c>
      <c r="O82" s="95" t="str">
        <f t="shared" si="9"/>
        <v/>
      </c>
      <c r="P82" s="111">
        <f>SUM(N82:N91)</f>
        <v>0</v>
      </c>
      <c r="Q82" s="104" t="str">
        <f t="shared" si="6"/>
        <v>September</v>
      </c>
      <c r="R82" s="106">
        <f t="shared" si="7"/>
        <v>0</v>
      </c>
      <c r="S82" s="106">
        <f t="shared" si="8"/>
        <v>0</v>
      </c>
    </row>
    <row r="83" spans="1:19" x14ac:dyDescent="0.3">
      <c r="A83" s="146"/>
      <c r="B83" s="148"/>
      <c r="C83" s="85"/>
      <c r="D83" s="13"/>
      <c r="E83" s="14"/>
      <c r="F83" s="14"/>
      <c r="G83" s="15"/>
      <c r="H83" s="15"/>
      <c r="I83" s="15"/>
      <c r="J83" s="15"/>
      <c r="K83" s="15"/>
      <c r="L83" s="15"/>
      <c r="M83" s="15"/>
      <c r="N83" s="15" t="str">
        <f t="shared" si="10"/>
        <v/>
      </c>
      <c r="O83" s="95" t="str">
        <f t="shared" si="9"/>
        <v/>
      </c>
      <c r="P83" s="111"/>
      <c r="Q83" s="104" t="str">
        <f t="shared" si="6"/>
        <v>September</v>
      </c>
      <c r="R83" s="106">
        <f t="shared" si="7"/>
        <v>0</v>
      </c>
      <c r="S83" s="106">
        <f t="shared" si="8"/>
        <v>0</v>
      </c>
    </row>
    <row r="84" spans="1:19" x14ac:dyDescent="0.3">
      <c r="A84" s="146"/>
      <c r="B84" s="148"/>
      <c r="C84" s="85"/>
      <c r="D84" s="13"/>
      <c r="E84" s="14"/>
      <c r="F84" s="14"/>
      <c r="G84" s="15"/>
      <c r="H84" s="15"/>
      <c r="I84" s="15"/>
      <c r="J84" s="15"/>
      <c r="K84" s="15"/>
      <c r="L84" s="15"/>
      <c r="M84" s="15"/>
      <c r="N84" s="15" t="str">
        <f t="shared" si="10"/>
        <v/>
      </c>
      <c r="O84" s="95" t="str">
        <f t="shared" si="9"/>
        <v/>
      </c>
      <c r="P84" s="111"/>
      <c r="Q84" s="104" t="str">
        <f t="shared" si="6"/>
        <v>September</v>
      </c>
      <c r="R84" s="106">
        <f t="shared" si="7"/>
        <v>0</v>
      </c>
      <c r="S84" s="106">
        <f t="shared" si="8"/>
        <v>0</v>
      </c>
    </row>
    <row r="85" spans="1:19" x14ac:dyDescent="0.3">
      <c r="A85" s="146"/>
      <c r="B85" s="148"/>
      <c r="C85" s="85"/>
      <c r="D85" s="13"/>
      <c r="E85" s="14"/>
      <c r="F85" s="14"/>
      <c r="G85" s="15"/>
      <c r="H85" s="15"/>
      <c r="I85" s="15"/>
      <c r="J85" s="15"/>
      <c r="K85" s="15"/>
      <c r="L85" s="15"/>
      <c r="M85" s="15"/>
      <c r="N85" s="15" t="str">
        <f t="shared" si="10"/>
        <v/>
      </c>
      <c r="O85" s="95" t="str">
        <f t="shared" si="9"/>
        <v/>
      </c>
      <c r="P85" s="111"/>
      <c r="Q85" s="104" t="str">
        <f t="shared" si="6"/>
        <v>September</v>
      </c>
      <c r="R85" s="106">
        <f t="shared" si="7"/>
        <v>0</v>
      </c>
      <c r="S85" s="106">
        <f t="shared" si="8"/>
        <v>0</v>
      </c>
    </row>
    <row r="86" spans="1:19" x14ac:dyDescent="0.3">
      <c r="A86" s="146"/>
      <c r="B86" s="148"/>
      <c r="C86" s="85"/>
      <c r="D86" s="13"/>
      <c r="E86" s="14"/>
      <c r="F86" s="14"/>
      <c r="G86" s="15"/>
      <c r="H86" s="15"/>
      <c r="I86" s="15"/>
      <c r="J86" s="15"/>
      <c r="K86" s="15"/>
      <c r="L86" s="15"/>
      <c r="M86" s="15"/>
      <c r="N86" s="15" t="str">
        <f t="shared" si="10"/>
        <v/>
      </c>
      <c r="O86" s="95" t="str">
        <f t="shared" si="9"/>
        <v/>
      </c>
      <c r="P86" s="111"/>
      <c r="Q86" s="104" t="str">
        <f t="shared" si="6"/>
        <v>September</v>
      </c>
      <c r="R86" s="106">
        <f t="shared" si="7"/>
        <v>0</v>
      </c>
      <c r="S86" s="106">
        <f t="shared" si="8"/>
        <v>0</v>
      </c>
    </row>
    <row r="87" spans="1:19" x14ac:dyDescent="0.3">
      <c r="A87" s="146"/>
      <c r="B87" s="148"/>
      <c r="C87" s="85"/>
      <c r="D87" s="13"/>
      <c r="E87" s="14"/>
      <c r="F87" s="14"/>
      <c r="G87" s="15"/>
      <c r="H87" s="15"/>
      <c r="I87" s="15"/>
      <c r="J87" s="15"/>
      <c r="K87" s="15"/>
      <c r="L87" s="15"/>
      <c r="M87" s="15"/>
      <c r="N87" s="15" t="str">
        <f t="shared" si="10"/>
        <v/>
      </c>
      <c r="O87" s="95" t="str">
        <f t="shared" si="9"/>
        <v/>
      </c>
      <c r="P87" s="111"/>
      <c r="Q87" s="104" t="str">
        <f t="shared" si="6"/>
        <v>September</v>
      </c>
      <c r="R87" s="106">
        <f t="shared" si="7"/>
        <v>0</v>
      </c>
      <c r="S87" s="106">
        <f t="shared" si="8"/>
        <v>0</v>
      </c>
    </row>
    <row r="88" spans="1:19" x14ac:dyDescent="0.3">
      <c r="A88" s="146"/>
      <c r="B88" s="148"/>
      <c r="C88" s="85"/>
      <c r="D88" s="13"/>
      <c r="E88" s="14"/>
      <c r="F88" s="14"/>
      <c r="G88" s="15"/>
      <c r="H88" s="15"/>
      <c r="I88" s="15"/>
      <c r="J88" s="15"/>
      <c r="K88" s="15"/>
      <c r="L88" s="15"/>
      <c r="M88" s="15"/>
      <c r="N88" s="15" t="str">
        <f t="shared" si="10"/>
        <v/>
      </c>
      <c r="O88" s="95" t="str">
        <f t="shared" si="9"/>
        <v/>
      </c>
      <c r="P88" s="111"/>
      <c r="Q88" s="104" t="str">
        <f t="shared" si="6"/>
        <v>September</v>
      </c>
      <c r="R88" s="106">
        <f t="shared" si="7"/>
        <v>0</v>
      </c>
      <c r="S88" s="106">
        <f t="shared" si="8"/>
        <v>0</v>
      </c>
    </row>
    <row r="89" spans="1:19" x14ac:dyDescent="0.3">
      <c r="A89" s="146"/>
      <c r="B89" s="148"/>
      <c r="C89" s="85"/>
      <c r="D89" s="13"/>
      <c r="E89" s="14"/>
      <c r="F89" s="14"/>
      <c r="G89" s="15"/>
      <c r="H89" s="15"/>
      <c r="I89" s="15"/>
      <c r="J89" s="15"/>
      <c r="K89" s="15"/>
      <c r="L89" s="15"/>
      <c r="M89" s="15"/>
      <c r="N89" s="15" t="str">
        <f t="shared" si="10"/>
        <v/>
      </c>
      <c r="O89" s="95" t="str">
        <f t="shared" si="9"/>
        <v/>
      </c>
      <c r="P89" s="111"/>
      <c r="Q89" s="104" t="str">
        <f t="shared" si="6"/>
        <v>September</v>
      </c>
      <c r="R89" s="106">
        <f t="shared" si="7"/>
        <v>0</v>
      </c>
      <c r="S89" s="106">
        <f t="shared" si="8"/>
        <v>0</v>
      </c>
    </row>
    <row r="90" spans="1:19" x14ac:dyDescent="0.3">
      <c r="A90" s="146"/>
      <c r="B90" s="148"/>
      <c r="C90" s="85"/>
      <c r="D90" s="13"/>
      <c r="E90" s="14"/>
      <c r="F90" s="14"/>
      <c r="G90" s="15"/>
      <c r="H90" s="15"/>
      <c r="I90" s="15"/>
      <c r="J90" s="15"/>
      <c r="K90" s="15"/>
      <c r="L90" s="15"/>
      <c r="M90" s="15"/>
      <c r="N90" s="15" t="str">
        <f t="shared" si="10"/>
        <v/>
      </c>
      <c r="O90" s="95" t="str">
        <f t="shared" si="9"/>
        <v/>
      </c>
      <c r="P90" s="111"/>
      <c r="Q90" s="104" t="str">
        <f t="shared" si="6"/>
        <v>September</v>
      </c>
      <c r="R90" s="106">
        <f t="shared" si="7"/>
        <v>0</v>
      </c>
      <c r="S90" s="106">
        <f t="shared" si="8"/>
        <v>0</v>
      </c>
    </row>
    <row r="91" spans="1:19" x14ac:dyDescent="0.3">
      <c r="A91" s="146"/>
      <c r="B91" s="148"/>
      <c r="C91" s="85"/>
      <c r="D91" s="13"/>
      <c r="E91" s="14"/>
      <c r="F91" s="14"/>
      <c r="G91" s="15"/>
      <c r="H91" s="15"/>
      <c r="I91" s="15"/>
      <c r="J91" s="15"/>
      <c r="K91" s="15"/>
      <c r="L91" s="15"/>
      <c r="M91" s="15"/>
      <c r="N91" s="15" t="str">
        <f t="shared" si="10"/>
        <v/>
      </c>
      <c r="O91" s="95" t="str">
        <f t="shared" si="9"/>
        <v/>
      </c>
      <c r="P91" s="111"/>
      <c r="Q91" s="104" t="str">
        <f t="shared" si="6"/>
        <v>September</v>
      </c>
      <c r="R91" s="106">
        <f t="shared" si="7"/>
        <v>0</v>
      </c>
      <c r="S91" s="106">
        <f t="shared" si="8"/>
        <v>0</v>
      </c>
    </row>
    <row r="92" spans="1:19" x14ac:dyDescent="0.3">
      <c r="A92" s="141" t="s">
        <v>90</v>
      </c>
      <c r="B92" s="143">
        <f>COUNTA(C92:C101)</f>
        <v>0</v>
      </c>
      <c r="C92" s="79"/>
      <c r="D92" s="9"/>
      <c r="E92" s="10"/>
      <c r="F92" s="10"/>
      <c r="G92" s="11"/>
      <c r="H92" s="11"/>
      <c r="I92" s="11"/>
      <c r="J92" s="11"/>
      <c r="K92" s="11"/>
      <c r="L92" s="11"/>
      <c r="M92" s="11"/>
      <c r="N92" s="11" t="str">
        <f t="shared" si="10"/>
        <v/>
      </c>
      <c r="O92" s="92" t="str">
        <f t="shared" si="9"/>
        <v/>
      </c>
      <c r="P92" s="110">
        <f>SUM(N92:N101)</f>
        <v>0</v>
      </c>
      <c r="Q92" s="104" t="str">
        <f t="shared" si="6"/>
        <v>October</v>
      </c>
      <c r="R92" s="106">
        <f t="shared" si="7"/>
        <v>0</v>
      </c>
      <c r="S92" s="106">
        <f t="shared" si="8"/>
        <v>0</v>
      </c>
    </row>
    <row r="93" spans="1:19" x14ac:dyDescent="0.3">
      <c r="A93" s="142"/>
      <c r="B93" s="144"/>
      <c r="C93" s="79"/>
      <c r="D93" s="9"/>
      <c r="E93" s="10"/>
      <c r="F93" s="10"/>
      <c r="G93" s="11"/>
      <c r="H93" s="11"/>
      <c r="I93" s="11"/>
      <c r="J93" s="11"/>
      <c r="K93" s="11"/>
      <c r="L93" s="11"/>
      <c r="M93" s="11"/>
      <c r="N93" s="11" t="str">
        <f t="shared" si="10"/>
        <v/>
      </c>
      <c r="O93" s="92" t="str">
        <f t="shared" si="9"/>
        <v/>
      </c>
      <c r="P93" s="110"/>
      <c r="Q93" s="104" t="str">
        <f t="shared" si="6"/>
        <v>October</v>
      </c>
      <c r="R93" s="106">
        <f t="shared" si="7"/>
        <v>0</v>
      </c>
      <c r="S93" s="106">
        <f t="shared" si="8"/>
        <v>0</v>
      </c>
    </row>
    <row r="94" spans="1:19" x14ac:dyDescent="0.3">
      <c r="A94" s="142"/>
      <c r="B94" s="144"/>
      <c r="C94" s="79"/>
      <c r="D94" s="9"/>
      <c r="E94" s="10"/>
      <c r="F94" s="10"/>
      <c r="G94" s="11"/>
      <c r="H94" s="11"/>
      <c r="I94" s="11"/>
      <c r="J94" s="11"/>
      <c r="K94" s="11"/>
      <c r="L94" s="11"/>
      <c r="M94" s="11"/>
      <c r="N94" s="11" t="str">
        <f t="shared" si="10"/>
        <v/>
      </c>
      <c r="O94" s="92" t="str">
        <f t="shared" si="9"/>
        <v/>
      </c>
      <c r="P94" s="110"/>
      <c r="Q94" s="104" t="str">
        <f t="shared" si="6"/>
        <v>October</v>
      </c>
      <c r="R94" s="106">
        <f t="shared" si="7"/>
        <v>0</v>
      </c>
      <c r="S94" s="106">
        <f t="shared" si="8"/>
        <v>0</v>
      </c>
    </row>
    <row r="95" spans="1:19" x14ac:dyDescent="0.3">
      <c r="A95" s="142"/>
      <c r="B95" s="144"/>
      <c r="C95" s="79"/>
      <c r="D95" s="9"/>
      <c r="E95" s="10"/>
      <c r="F95" s="10"/>
      <c r="G95" s="11"/>
      <c r="H95" s="11"/>
      <c r="I95" s="11"/>
      <c r="J95" s="11"/>
      <c r="K95" s="11"/>
      <c r="L95" s="11"/>
      <c r="M95" s="11"/>
      <c r="N95" s="11" t="str">
        <f t="shared" si="10"/>
        <v/>
      </c>
      <c r="O95" s="92" t="str">
        <f t="shared" si="9"/>
        <v/>
      </c>
      <c r="P95" s="110"/>
      <c r="Q95" s="104" t="str">
        <f t="shared" si="6"/>
        <v>October</v>
      </c>
      <c r="R95" s="106">
        <f t="shared" si="7"/>
        <v>0</v>
      </c>
      <c r="S95" s="106">
        <f t="shared" si="8"/>
        <v>0</v>
      </c>
    </row>
    <row r="96" spans="1:19" x14ac:dyDescent="0.3">
      <c r="A96" s="142"/>
      <c r="B96" s="144"/>
      <c r="C96" s="79"/>
      <c r="D96" s="9"/>
      <c r="E96" s="10"/>
      <c r="F96" s="10"/>
      <c r="G96" s="11"/>
      <c r="H96" s="11"/>
      <c r="I96" s="11"/>
      <c r="J96" s="11"/>
      <c r="K96" s="11"/>
      <c r="L96" s="11"/>
      <c r="M96" s="11"/>
      <c r="N96" s="11" t="str">
        <f t="shared" si="10"/>
        <v/>
      </c>
      <c r="O96" s="92" t="str">
        <f t="shared" si="9"/>
        <v/>
      </c>
      <c r="P96" s="110"/>
      <c r="Q96" s="104" t="str">
        <f t="shared" si="6"/>
        <v>October</v>
      </c>
      <c r="R96" s="106">
        <f t="shared" si="7"/>
        <v>0</v>
      </c>
      <c r="S96" s="106">
        <f t="shared" si="8"/>
        <v>0</v>
      </c>
    </row>
    <row r="97" spans="1:19" x14ac:dyDescent="0.3">
      <c r="A97" s="142"/>
      <c r="B97" s="144"/>
      <c r="C97" s="79"/>
      <c r="D97" s="9"/>
      <c r="E97" s="10"/>
      <c r="F97" s="10"/>
      <c r="G97" s="11"/>
      <c r="H97" s="11"/>
      <c r="I97" s="11"/>
      <c r="J97" s="11"/>
      <c r="K97" s="11"/>
      <c r="L97" s="11"/>
      <c r="M97" s="11"/>
      <c r="N97" s="11" t="str">
        <f t="shared" si="10"/>
        <v/>
      </c>
      <c r="O97" s="92" t="str">
        <f t="shared" si="9"/>
        <v/>
      </c>
      <c r="P97" s="110"/>
      <c r="Q97" s="104" t="str">
        <f t="shared" si="6"/>
        <v>October</v>
      </c>
      <c r="R97" s="106">
        <f t="shared" si="7"/>
        <v>0</v>
      </c>
      <c r="S97" s="106">
        <f t="shared" si="8"/>
        <v>0</v>
      </c>
    </row>
    <row r="98" spans="1:19" x14ac:dyDescent="0.3">
      <c r="A98" s="142"/>
      <c r="B98" s="144"/>
      <c r="C98" s="79"/>
      <c r="D98" s="9"/>
      <c r="E98" s="10"/>
      <c r="F98" s="10"/>
      <c r="G98" s="11"/>
      <c r="H98" s="11"/>
      <c r="I98" s="11"/>
      <c r="J98" s="11"/>
      <c r="K98" s="11"/>
      <c r="L98" s="11"/>
      <c r="M98" s="11"/>
      <c r="N98" s="11" t="str">
        <f t="shared" si="10"/>
        <v/>
      </c>
      <c r="O98" s="92" t="str">
        <f t="shared" si="9"/>
        <v/>
      </c>
      <c r="P98" s="110"/>
      <c r="Q98" s="104" t="str">
        <f t="shared" si="6"/>
        <v>October</v>
      </c>
      <c r="R98" s="106">
        <f t="shared" si="7"/>
        <v>0</v>
      </c>
      <c r="S98" s="106">
        <f t="shared" si="8"/>
        <v>0</v>
      </c>
    </row>
    <row r="99" spans="1:19" x14ac:dyDescent="0.3">
      <c r="A99" s="142"/>
      <c r="B99" s="144"/>
      <c r="C99" s="79"/>
      <c r="D99" s="9"/>
      <c r="E99" s="10"/>
      <c r="F99" s="10"/>
      <c r="G99" s="11"/>
      <c r="H99" s="11"/>
      <c r="I99" s="11"/>
      <c r="J99" s="11"/>
      <c r="K99" s="11"/>
      <c r="L99" s="11"/>
      <c r="M99" s="11"/>
      <c r="N99" s="11" t="str">
        <f t="shared" si="10"/>
        <v/>
      </c>
      <c r="O99" s="92" t="str">
        <f t="shared" si="9"/>
        <v/>
      </c>
      <c r="P99" s="110"/>
      <c r="Q99" s="104" t="str">
        <f t="shared" si="6"/>
        <v>October</v>
      </c>
      <c r="R99" s="106">
        <f t="shared" si="7"/>
        <v>0</v>
      </c>
      <c r="S99" s="106">
        <f t="shared" si="8"/>
        <v>0</v>
      </c>
    </row>
    <row r="100" spans="1:19" x14ac:dyDescent="0.3">
      <c r="A100" s="142"/>
      <c r="B100" s="144"/>
      <c r="C100" s="79"/>
      <c r="D100" s="9"/>
      <c r="E100" s="10"/>
      <c r="F100" s="10"/>
      <c r="G100" s="11"/>
      <c r="H100" s="11"/>
      <c r="I100" s="11"/>
      <c r="J100" s="11"/>
      <c r="K100" s="11"/>
      <c r="L100" s="11"/>
      <c r="M100" s="11"/>
      <c r="N100" s="11" t="str">
        <f t="shared" si="10"/>
        <v/>
      </c>
      <c r="O100" s="92" t="str">
        <f t="shared" si="9"/>
        <v/>
      </c>
      <c r="P100" s="110"/>
      <c r="Q100" s="104" t="str">
        <f t="shared" si="6"/>
        <v>October</v>
      </c>
      <c r="R100" s="106">
        <f t="shared" si="7"/>
        <v>0</v>
      </c>
      <c r="S100" s="106">
        <f t="shared" si="8"/>
        <v>0</v>
      </c>
    </row>
    <row r="101" spans="1:19" x14ac:dyDescent="0.3">
      <c r="A101" s="142"/>
      <c r="B101" s="144"/>
      <c r="C101" s="79"/>
      <c r="D101" s="9"/>
      <c r="E101" s="10"/>
      <c r="F101" s="10"/>
      <c r="G101" s="11"/>
      <c r="H101" s="11"/>
      <c r="I101" s="11"/>
      <c r="J101" s="11"/>
      <c r="K101" s="11"/>
      <c r="L101" s="11"/>
      <c r="M101" s="11"/>
      <c r="N101" s="11" t="str">
        <f t="shared" si="10"/>
        <v/>
      </c>
      <c r="O101" s="92" t="str">
        <f t="shared" si="9"/>
        <v/>
      </c>
      <c r="P101" s="110"/>
      <c r="Q101" s="104" t="str">
        <f t="shared" si="6"/>
        <v>October</v>
      </c>
      <c r="R101" s="106">
        <f t="shared" si="7"/>
        <v>0</v>
      </c>
      <c r="S101" s="106">
        <f t="shared" si="8"/>
        <v>0</v>
      </c>
    </row>
    <row r="102" spans="1:19" x14ac:dyDescent="0.3">
      <c r="A102" s="145" t="s">
        <v>91</v>
      </c>
      <c r="B102" s="147">
        <f>COUNTA(C102:C111)</f>
        <v>0</v>
      </c>
      <c r="C102" s="85"/>
      <c r="D102" s="13"/>
      <c r="E102" s="14"/>
      <c r="F102" s="14"/>
      <c r="G102" s="15"/>
      <c r="H102" s="15"/>
      <c r="I102" s="15"/>
      <c r="J102" s="15"/>
      <c r="K102" s="15"/>
      <c r="L102" s="15"/>
      <c r="M102" s="15"/>
      <c r="N102" s="15" t="str">
        <f t="shared" si="10"/>
        <v/>
      </c>
      <c r="O102" s="95" t="str">
        <f t="shared" si="9"/>
        <v/>
      </c>
      <c r="P102" s="111">
        <f>SUM(N102:N111)</f>
        <v>0</v>
      </c>
      <c r="Q102" s="104" t="str">
        <f t="shared" si="6"/>
        <v>November</v>
      </c>
      <c r="R102" s="106">
        <f t="shared" si="7"/>
        <v>0</v>
      </c>
      <c r="S102" s="106">
        <f t="shared" si="8"/>
        <v>0</v>
      </c>
    </row>
    <row r="103" spans="1:19" x14ac:dyDescent="0.3">
      <c r="A103" s="146"/>
      <c r="B103" s="148"/>
      <c r="C103" s="85"/>
      <c r="D103" s="13"/>
      <c r="E103" s="14"/>
      <c r="F103" s="14"/>
      <c r="G103" s="15"/>
      <c r="H103" s="15"/>
      <c r="I103" s="15"/>
      <c r="J103" s="15"/>
      <c r="K103" s="15"/>
      <c r="L103" s="15"/>
      <c r="M103" s="15"/>
      <c r="N103" s="15" t="str">
        <f t="shared" si="10"/>
        <v/>
      </c>
      <c r="O103" s="95" t="str">
        <f t="shared" si="9"/>
        <v/>
      </c>
      <c r="P103" s="111"/>
      <c r="Q103" s="104" t="str">
        <f t="shared" si="6"/>
        <v>November</v>
      </c>
      <c r="R103" s="106">
        <f t="shared" si="7"/>
        <v>0</v>
      </c>
      <c r="S103" s="106">
        <f t="shared" si="8"/>
        <v>0</v>
      </c>
    </row>
    <row r="104" spans="1:19" x14ac:dyDescent="0.3">
      <c r="A104" s="146"/>
      <c r="B104" s="148"/>
      <c r="C104" s="85"/>
      <c r="D104" s="13"/>
      <c r="E104" s="14"/>
      <c r="F104" s="14"/>
      <c r="G104" s="15"/>
      <c r="H104" s="15"/>
      <c r="I104" s="15"/>
      <c r="J104" s="15"/>
      <c r="K104" s="15"/>
      <c r="L104" s="15"/>
      <c r="M104" s="15"/>
      <c r="N104" s="15" t="str">
        <f t="shared" si="10"/>
        <v/>
      </c>
      <c r="O104" s="95" t="str">
        <f t="shared" si="9"/>
        <v/>
      </c>
      <c r="P104" s="111"/>
      <c r="Q104" s="104" t="str">
        <f t="shared" si="6"/>
        <v>November</v>
      </c>
      <c r="R104" s="106">
        <f t="shared" si="7"/>
        <v>0</v>
      </c>
      <c r="S104" s="106">
        <f t="shared" si="8"/>
        <v>0</v>
      </c>
    </row>
    <row r="105" spans="1:19" x14ac:dyDescent="0.3">
      <c r="A105" s="146"/>
      <c r="B105" s="148"/>
      <c r="C105" s="85"/>
      <c r="D105" s="13"/>
      <c r="E105" s="14"/>
      <c r="F105" s="14"/>
      <c r="G105" s="15"/>
      <c r="H105" s="15"/>
      <c r="I105" s="15"/>
      <c r="J105" s="15"/>
      <c r="K105" s="15"/>
      <c r="L105" s="15"/>
      <c r="M105" s="15"/>
      <c r="N105" s="15" t="str">
        <f t="shared" si="10"/>
        <v/>
      </c>
      <c r="O105" s="95" t="str">
        <f t="shared" si="9"/>
        <v/>
      </c>
      <c r="P105" s="111"/>
      <c r="Q105" s="104" t="str">
        <f t="shared" si="6"/>
        <v>November</v>
      </c>
      <c r="R105" s="106">
        <f t="shared" si="7"/>
        <v>0</v>
      </c>
      <c r="S105" s="106">
        <f t="shared" si="8"/>
        <v>0</v>
      </c>
    </row>
    <row r="106" spans="1:19" x14ac:dyDescent="0.3">
      <c r="A106" s="146"/>
      <c r="B106" s="148"/>
      <c r="C106" s="85"/>
      <c r="D106" s="13"/>
      <c r="E106" s="14"/>
      <c r="F106" s="14"/>
      <c r="G106" s="15"/>
      <c r="H106" s="15"/>
      <c r="I106" s="15"/>
      <c r="J106" s="15"/>
      <c r="K106" s="15"/>
      <c r="L106" s="15"/>
      <c r="M106" s="15"/>
      <c r="N106" s="15" t="str">
        <f t="shared" si="10"/>
        <v/>
      </c>
      <c r="O106" s="95" t="str">
        <f t="shared" si="9"/>
        <v/>
      </c>
      <c r="P106" s="111"/>
      <c r="Q106" s="104" t="str">
        <f t="shared" si="6"/>
        <v>November</v>
      </c>
      <c r="R106" s="106">
        <f t="shared" si="7"/>
        <v>0</v>
      </c>
      <c r="S106" s="106">
        <f t="shared" si="8"/>
        <v>0</v>
      </c>
    </row>
    <row r="107" spans="1:19" x14ac:dyDescent="0.3">
      <c r="A107" s="146"/>
      <c r="B107" s="148"/>
      <c r="C107" s="85"/>
      <c r="D107" s="13"/>
      <c r="E107" s="14"/>
      <c r="F107" s="14"/>
      <c r="G107" s="15"/>
      <c r="H107" s="15"/>
      <c r="I107" s="15"/>
      <c r="J107" s="15"/>
      <c r="K107" s="15"/>
      <c r="L107" s="15"/>
      <c r="M107" s="15"/>
      <c r="N107" s="15" t="str">
        <f t="shared" si="10"/>
        <v/>
      </c>
      <c r="O107" s="95" t="str">
        <f t="shared" si="9"/>
        <v/>
      </c>
      <c r="P107" s="111"/>
      <c r="Q107" s="104" t="str">
        <f t="shared" si="6"/>
        <v>November</v>
      </c>
      <c r="R107" s="106">
        <f t="shared" si="7"/>
        <v>0</v>
      </c>
      <c r="S107" s="106">
        <f t="shared" si="8"/>
        <v>0</v>
      </c>
    </row>
    <row r="108" spans="1:19" x14ac:dyDescent="0.3">
      <c r="A108" s="146"/>
      <c r="B108" s="148"/>
      <c r="C108" s="85"/>
      <c r="D108" s="13"/>
      <c r="E108" s="14"/>
      <c r="F108" s="14"/>
      <c r="G108" s="15"/>
      <c r="H108" s="15"/>
      <c r="I108" s="15"/>
      <c r="J108" s="15"/>
      <c r="K108" s="15"/>
      <c r="L108" s="15"/>
      <c r="M108" s="15"/>
      <c r="N108" s="15" t="str">
        <f t="shared" si="10"/>
        <v/>
      </c>
      <c r="O108" s="95" t="str">
        <f t="shared" si="9"/>
        <v/>
      </c>
      <c r="P108" s="111"/>
      <c r="Q108" s="104" t="str">
        <f t="shared" si="6"/>
        <v>November</v>
      </c>
      <c r="R108" s="106">
        <f t="shared" si="7"/>
        <v>0</v>
      </c>
      <c r="S108" s="106">
        <f t="shared" si="8"/>
        <v>0</v>
      </c>
    </row>
    <row r="109" spans="1:19" x14ac:dyDescent="0.3">
      <c r="A109" s="146"/>
      <c r="B109" s="148"/>
      <c r="C109" s="85"/>
      <c r="D109" s="13"/>
      <c r="E109" s="14"/>
      <c r="F109" s="14"/>
      <c r="G109" s="15"/>
      <c r="H109" s="15"/>
      <c r="I109" s="15"/>
      <c r="J109" s="15"/>
      <c r="K109" s="15"/>
      <c r="L109" s="15"/>
      <c r="M109" s="15"/>
      <c r="N109" s="15" t="str">
        <f t="shared" si="10"/>
        <v/>
      </c>
      <c r="O109" s="95" t="str">
        <f t="shared" si="9"/>
        <v/>
      </c>
      <c r="P109" s="111"/>
      <c r="Q109" s="104" t="str">
        <f t="shared" si="6"/>
        <v>November</v>
      </c>
      <c r="R109" s="106">
        <f t="shared" si="7"/>
        <v>0</v>
      </c>
      <c r="S109" s="106">
        <f t="shared" si="8"/>
        <v>0</v>
      </c>
    </row>
    <row r="110" spans="1:19" x14ac:dyDescent="0.3">
      <c r="A110" s="146"/>
      <c r="B110" s="148"/>
      <c r="C110" s="85"/>
      <c r="D110" s="13"/>
      <c r="E110" s="14"/>
      <c r="F110" s="14"/>
      <c r="G110" s="15"/>
      <c r="H110" s="15"/>
      <c r="I110" s="15"/>
      <c r="J110" s="15"/>
      <c r="K110" s="15"/>
      <c r="L110" s="15"/>
      <c r="M110" s="15"/>
      <c r="N110" s="15" t="str">
        <f t="shared" si="10"/>
        <v/>
      </c>
      <c r="O110" s="95" t="str">
        <f t="shared" si="9"/>
        <v/>
      </c>
      <c r="P110" s="111"/>
      <c r="Q110" s="104" t="str">
        <f t="shared" si="6"/>
        <v>November</v>
      </c>
      <c r="R110" s="106">
        <f t="shared" si="7"/>
        <v>0</v>
      </c>
      <c r="S110" s="106">
        <f t="shared" si="8"/>
        <v>0</v>
      </c>
    </row>
    <row r="111" spans="1:19" x14ac:dyDescent="0.3">
      <c r="A111" s="146"/>
      <c r="B111" s="148"/>
      <c r="C111" s="85"/>
      <c r="D111" s="13"/>
      <c r="E111" s="14"/>
      <c r="F111" s="14"/>
      <c r="G111" s="15"/>
      <c r="H111" s="15"/>
      <c r="I111" s="15"/>
      <c r="J111" s="15"/>
      <c r="K111" s="15"/>
      <c r="L111" s="15"/>
      <c r="M111" s="15"/>
      <c r="N111" s="15" t="str">
        <f t="shared" si="10"/>
        <v/>
      </c>
      <c r="O111" s="95" t="str">
        <f t="shared" si="9"/>
        <v/>
      </c>
      <c r="P111" s="111"/>
      <c r="Q111" s="104" t="str">
        <f t="shared" si="6"/>
        <v>November</v>
      </c>
      <c r="R111" s="106">
        <f t="shared" si="7"/>
        <v>0</v>
      </c>
      <c r="S111" s="106">
        <f t="shared" si="8"/>
        <v>0</v>
      </c>
    </row>
    <row r="112" spans="1:19" x14ac:dyDescent="0.3">
      <c r="A112" s="141" t="s">
        <v>92</v>
      </c>
      <c r="B112" s="143">
        <f>COUNTA(C112:C121)</f>
        <v>0</v>
      </c>
      <c r="C112" s="79"/>
      <c r="D112" s="9"/>
      <c r="E112" s="10"/>
      <c r="F112" s="10"/>
      <c r="G112" s="11"/>
      <c r="H112" s="11"/>
      <c r="I112" s="11"/>
      <c r="J112" s="11"/>
      <c r="K112" s="11"/>
      <c r="L112" s="11"/>
      <c r="M112" s="11"/>
      <c r="N112" s="11" t="str">
        <f t="shared" si="10"/>
        <v/>
      </c>
      <c r="O112" s="92" t="str">
        <f t="shared" si="9"/>
        <v/>
      </c>
      <c r="P112" s="110">
        <f>SUM(N112:N121)</f>
        <v>0</v>
      </c>
      <c r="Q112" s="104" t="str">
        <f t="shared" si="6"/>
        <v>December</v>
      </c>
      <c r="R112" s="106">
        <f t="shared" si="7"/>
        <v>0</v>
      </c>
      <c r="S112" s="106">
        <f t="shared" si="8"/>
        <v>0</v>
      </c>
    </row>
    <row r="113" spans="1:19" x14ac:dyDescent="0.3">
      <c r="A113" s="142"/>
      <c r="B113" s="144"/>
      <c r="C113" s="79"/>
      <c r="D113" s="9"/>
      <c r="E113" s="10"/>
      <c r="F113" s="10"/>
      <c r="G113" s="11"/>
      <c r="H113" s="11"/>
      <c r="I113" s="11"/>
      <c r="J113" s="11"/>
      <c r="K113" s="11"/>
      <c r="L113" s="11"/>
      <c r="M113" s="11"/>
      <c r="N113" s="11" t="str">
        <f t="shared" si="10"/>
        <v/>
      </c>
      <c r="O113" s="92" t="str">
        <f t="shared" si="9"/>
        <v/>
      </c>
      <c r="P113" s="110"/>
      <c r="Q113" s="104" t="str">
        <f t="shared" si="6"/>
        <v>December</v>
      </c>
      <c r="R113" s="106">
        <f t="shared" si="7"/>
        <v>0</v>
      </c>
      <c r="S113" s="106">
        <f t="shared" si="8"/>
        <v>0</v>
      </c>
    </row>
    <row r="114" spans="1:19" x14ac:dyDescent="0.3">
      <c r="A114" s="142"/>
      <c r="B114" s="144"/>
      <c r="C114" s="79"/>
      <c r="D114" s="9"/>
      <c r="E114" s="10"/>
      <c r="F114" s="10"/>
      <c r="G114" s="11"/>
      <c r="H114" s="11"/>
      <c r="I114" s="11"/>
      <c r="J114" s="11"/>
      <c r="K114" s="11"/>
      <c r="L114" s="11"/>
      <c r="M114" s="11"/>
      <c r="N114" s="11" t="str">
        <f t="shared" si="10"/>
        <v/>
      </c>
      <c r="O114" s="92" t="str">
        <f t="shared" si="9"/>
        <v/>
      </c>
      <c r="P114" s="110"/>
      <c r="Q114" s="104" t="str">
        <f t="shared" si="6"/>
        <v>December</v>
      </c>
      <c r="R114" s="106">
        <f t="shared" si="7"/>
        <v>0</v>
      </c>
      <c r="S114" s="106">
        <f t="shared" si="8"/>
        <v>0</v>
      </c>
    </row>
    <row r="115" spans="1:19" x14ac:dyDescent="0.3">
      <c r="A115" s="142"/>
      <c r="B115" s="144"/>
      <c r="C115" s="79"/>
      <c r="D115" s="9"/>
      <c r="E115" s="10"/>
      <c r="F115" s="10"/>
      <c r="G115" s="11"/>
      <c r="H115" s="11"/>
      <c r="I115" s="11"/>
      <c r="J115" s="11"/>
      <c r="K115" s="11"/>
      <c r="L115" s="11"/>
      <c r="M115" s="11"/>
      <c r="N115" s="11" t="str">
        <f t="shared" si="10"/>
        <v/>
      </c>
      <c r="O115" s="92" t="str">
        <f t="shared" si="9"/>
        <v/>
      </c>
      <c r="P115" s="110"/>
      <c r="Q115" s="104" t="str">
        <f t="shared" si="6"/>
        <v>December</v>
      </c>
      <c r="R115" s="106">
        <f t="shared" si="7"/>
        <v>0</v>
      </c>
      <c r="S115" s="106">
        <f t="shared" si="8"/>
        <v>0</v>
      </c>
    </row>
    <row r="116" spans="1:19" x14ac:dyDescent="0.3">
      <c r="A116" s="142"/>
      <c r="B116" s="144"/>
      <c r="C116" s="79"/>
      <c r="D116" s="9"/>
      <c r="E116" s="10"/>
      <c r="F116" s="10"/>
      <c r="G116" s="11"/>
      <c r="H116" s="11"/>
      <c r="I116" s="11"/>
      <c r="J116" s="11"/>
      <c r="K116" s="11"/>
      <c r="L116" s="11"/>
      <c r="M116" s="11"/>
      <c r="N116" s="11" t="str">
        <f t="shared" si="10"/>
        <v/>
      </c>
      <c r="O116" s="92" t="str">
        <f t="shared" si="9"/>
        <v/>
      </c>
      <c r="P116" s="110"/>
      <c r="Q116" s="104" t="str">
        <f t="shared" si="6"/>
        <v>December</v>
      </c>
      <c r="R116" s="106">
        <f t="shared" si="7"/>
        <v>0</v>
      </c>
      <c r="S116" s="106">
        <f t="shared" si="8"/>
        <v>0</v>
      </c>
    </row>
    <row r="117" spans="1:19" x14ac:dyDescent="0.3">
      <c r="A117" s="142"/>
      <c r="B117" s="144"/>
      <c r="C117" s="79"/>
      <c r="D117" s="9"/>
      <c r="E117" s="10"/>
      <c r="F117" s="10"/>
      <c r="G117" s="11"/>
      <c r="H117" s="11"/>
      <c r="I117" s="11"/>
      <c r="J117" s="11"/>
      <c r="K117" s="11"/>
      <c r="L117" s="11"/>
      <c r="M117" s="11"/>
      <c r="N117" s="11" t="str">
        <f t="shared" si="10"/>
        <v/>
      </c>
      <c r="O117" s="92" t="str">
        <f t="shared" si="9"/>
        <v/>
      </c>
      <c r="P117" s="110"/>
      <c r="Q117" s="104" t="str">
        <f t="shared" si="6"/>
        <v>December</v>
      </c>
      <c r="R117" s="106">
        <f t="shared" si="7"/>
        <v>0</v>
      </c>
      <c r="S117" s="106">
        <f t="shared" si="8"/>
        <v>0</v>
      </c>
    </row>
    <row r="118" spans="1:19" x14ac:dyDescent="0.3">
      <c r="A118" s="142"/>
      <c r="B118" s="144"/>
      <c r="C118" s="79"/>
      <c r="D118" s="9"/>
      <c r="E118" s="10"/>
      <c r="F118" s="10"/>
      <c r="G118" s="11"/>
      <c r="H118" s="11"/>
      <c r="I118" s="11"/>
      <c r="J118" s="11"/>
      <c r="K118" s="11"/>
      <c r="L118" s="11"/>
      <c r="M118" s="11"/>
      <c r="N118" s="11" t="str">
        <f t="shared" si="10"/>
        <v/>
      </c>
      <c r="O118" s="92" t="str">
        <f t="shared" si="9"/>
        <v/>
      </c>
      <c r="P118" s="110"/>
      <c r="Q118" s="104" t="str">
        <f t="shared" si="6"/>
        <v>December</v>
      </c>
      <c r="R118" s="106">
        <f t="shared" si="7"/>
        <v>0</v>
      </c>
      <c r="S118" s="106">
        <f t="shared" si="8"/>
        <v>0</v>
      </c>
    </row>
    <row r="119" spans="1:19" x14ac:dyDescent="0.3">
      <c r="A119" s="142"/>
      <c r="B119" s="144"/>
      <c r="C119" s="79"/>
      <c r="D119" s="9"/>
      <c r="E119" s="10"/>
      <c r="F119" s="10"/>
      <c r="G119" s="11"/>
      <c r="H119" s="11"/>
      <c r="I119" s="11"/>
      <c r="J119" s="11"/>
      <c r="K119" s="11"/>
      <c r="L119" s="11"/>
      <c r="M119" s="11"/>
      <c r="N119" s="11" t="str">
        <f t="shared" si="10"/>
        <v/>
      </c>
      <c r="O119" s="92" t="str">
        <f t="shared" si="9"/>
        <v/>
      </c>
      <c r="P119" s="110"/>
      <c r="Q119" s="104" t="str">
        <f t="shared" si="6"/>
        <v>December</v>
      </c>
      <c r="R119" s="106">
        <f t="shared" si="7"/>
        <v>0</v>
      </c>
      <c r="S119" s="106">
        <f t="shared" si="8"/>
        <v>0</v>
      </c>
    </row>
    <row r="120" spans="1:19" x14ac:dyDescent="0.3">
      <c r="A120" s="142"/>
      <c r="B120" s="144"/>
      <c r="C120" s="79"/>
      <c r="D120" s="9"/>
      <c r="E120" s="10"/>
      <c r="F120" s="10"/>
      <c r="G120" s="11"/>
      <c r="H120" s="11"/>
      <c r="I120" s="11"/>
      <c r="J120" s="11"/>
      <c r="K120" s="11"/>
      <c r="L120" s="11"/>
      <c r="M120" s="11"/>
      <c r="N120" s="11" t="str">
        <f t="shared" si="10"/>
        <v/>
      </c>
      <c r="O120" s="92" t="str">
        <f t="shared" si="9"/>
        <v/>
      </c>
      <c r="P120" s="110"/>
      <c r="Q120" s="104" t="str">
        <f t="shared" si="6"/>
        <v>December</v>
      </c>
      <c r="R120" s="106">
        <f t="shared" si="7"/>
        <v>0</v>
      </c>
      <c r="S120" s="106">
        <f t="shared" si="8"/>
        <v>0</v>
      </c>
    </row>
    <row r="121" spans="1:19" x14ac:dyDescent="0.3">
      <c r="A121" s="142"/>
      <c r="B121" s="144"/>
      <c r="C121" s="79"/>
      <c r="D121" s="9"/>
      <c r="E121" s="10"/>
      <c r="F121" s="10"/>
      <c r="G121" s="11"/>
      <c r="H121" s="11"/>
      <c r="I121" s="11"/>
      <c r="J121" s="11"/>
      <c r="K121" s="11"/>
      <c r="L121" s="11"/>
      <c r="M121" s="11"/>
      <c r="N121" s="11" t="str">
        <f t="shared" si="10"/>
        <v/>
      </c>
      <c r="O121" s="92" t="str">
        <f t="shared" si="9"/>
        <v/>
      </c>
      <c r="P121" s="110"/>
      <c r="Q121" s="104" t="str">
        <f t="shared" si="6"/>
        <v>December</v>
      </c>
      <c r="R121" s="106">
        <f t="shared" si="7"/>
        <v>0</v>
      </c>
      <c r="S121" s="106">
        <f t="shared" si="8"/>
        <v>0</v>
      </c>
    </row>
    <row r="122" spans="1:19" x14ac:dyDescent="0.3">
      <c r="Q122" s="104" t="str">
        <f t="shared" si="6"/>
        <v>December</v>
      </c>
      <c r="R122" s="106">
        <f t="shared" si="7"/>
        <v>0</v>
      </c>
      <c r="S122" s="106">
        <f t="shared" si="8"/>
        <v>0</v>
      </c>
    </row>
    <row r="123" spans="1:19" x14ac:dyDescent="0.3">
      <c r="A123" s="107"/>
      <c r="B123" s="108">
        <f>SUM(B3:B121)</f>
        <v>74</v>
      </c>
      <c r="C123" s="109" t="s">
        <v>122</v>
      </c>
      <c r="D123" s="109"/>
      <c r="E123" s="109"/>
      <c r="F123" s="109"/>
      <c r="G123" s="109">
        <f t="shared" ref="G123:P123" si="11">SUM(G3:G121)</f>
        <v>12186</v>
      </c>
      <c r="H123" s="109">
        <f t="shared" si="11"/>
        <v>15533</v>
      </c>
      <c r="I123" s="109">
        <f t="shared" si="11"/>
        <v>2668</v>
      </c>
      <c r="J123" s="109">
        <f t="shared" si="11"/>
        <v>4374</v>
      </c>
      <c r="K123" s="109">
        <f t="shared" si="11"/>
        <v>9220</v>
      </c>
      <c r="L123" s="109">
        <f t="shared" si="11"/>
        <v>10795</v>
      </c>
      <c r="M123" s="109">
        <f t="shared" si="11"/>
        <v>1447</v>
      </c>
      <c r="N123" s="109">
        <f t="shared" si="11"/>
        <v>85478</v>
      </c>
      <c r="O123" s="109">
        <f t="shared" si="11"/>
        <v>54776</v>
      </c>
      <c r="P123" s="109">
        <f t="shared" si="11"/>
        <v>85478</v>
      </c>
      <c r="Q123" s="104" t="str">
        <f t="shared" si="6"/>
        <v>December</v>
      </c>
      <c r="R123" s="106">
        <f t="shared" si="7"/>
        <v>0</v>
      </c>
      <c r="S123" s="106">
        <f t="shared" si="8"/>
        <v>0</v>
      </c>
    </row>
    <row r="124" spans="1:19" x14ac:dyDescent="0.3">
      <c r="Q124" s="104" t="str">
        <f t="shared" si="6"/>
        <v>December</v>
      </c>
      <c r="R124" s="106">
        <f t="shared" si="7"/>
        <v>0</v>
      </c>
      <c r="S124" s="106">
        <f t="shared" si="8"/>
        <v>0</v>
      </c>
    </row>
    <row r="125" spans="1:19" x14ac:dyDescent="0.3">
      <c r="Q125" s="104" t="str">
        <f t="shared" si="6"/>
        <v>December</v>
      </c>
      <c r="R125" s="106">
        <f t="shared" si="7"/>
        <v>0</v>
      </c>
      <c r="S125" s="106">
        <f t="shared" si="8"/>
        <v>0</v>
      </c>
    </row>
    <row r="126" spans="1:19" x14ac:dyDescent="0.3">
      <c r="Q126" s="104" t="str">
        <f t="shared" si="6"/>
        <v>December</v>
      </c>
      <c r="R126" s="106">
        <f t="shared" si="7"/>
        <v>0</v>
      </c>
      <c r="S126" s="106">
        <f t="shared" si="8"/>
        <v>0</v>
      </c>
    </row>
    <row r="127" spans="1:19" x14ac:dyDescent="0.3">
      <c r="Q127" s="104" t="str">
        <f t="shared" si="6"/>
        <v>December</v>
      </c>
      <c r="R127" s="106">
        <f t="shared" si="7"/>
        <v>0</v>
      </c>
      <c r="S127" s="106">
        <f t="shared" si="8"/>
        <v>0</v>
      </c>
    </row>
    <row r="128" spans="1:19" x14ac:dyDescent="0.3">
      <c r="Q128" s="104" t="str">
        <f t="shared" si="6"/>
        <v>December</v>
      </c>
      <c r="R128" s="106">
        <f t="shared" si="7"/>
        <v>0</v>
      </c>
      <c r="S128" s="106">
        <f t="shared" si="8"/>
        <v>0</v>
      </c>
    </row>
    <row r="129" spans="17:19" x14ac:dyDescent="0.3">
      <c r="Q129" s="104" t="str">
        <f t="shared" si="6"/>
        <v>December</v>
      </c>
      <c r="R129" s="106">
        <f t="shared" si="7"/>
        <v>0</v>
      </c>
      <c r="S129" s="106">
        <f t="shared" si="8"/>
        <v>0</v>
      </c>
    </row>
    <row r="130" spans="17:19" x14ac:dyDescent="0.3">
      <c r="Q130" s="104" t="str">
        <f t="shared" si="6"/>
        <v>December</v>
      </c>
      <c r="R130" s="106">
        <f t="shared" si="7"/>
        <v>0</v>
      </c>
      <c r="S130" s="106">
        <f t="shared" si="8"/>
        <v>0</v>
      </c>
    </row>
    <row r="131" spans="17:19" x14ac:dyDescent="0.3">
      <c r="Q131" s="104" t="str">
        <f t="shared" si="6"/>
        <v>December</v>
      </c>
      <c r="R131" s="106">
        <f t="shared" si="7"/>
        <v>0</v>
      </c>
      <c r="S131" s="106">
        <f t="shared" si="8"/>
        <v>0</v>
      </c>
    </row>
    <row r="132" spans="17:19" x14ac:dyDescent="0.3">
      <c r="Q132" s="104" t="str">
        <f t="shared" ref="Q132:Q195" si="12">IF($A132&lt;&gt;"",$A132,Q131)</f>
        <v>December</v>
      </c>
      <c r="R132" s="106">
        <f t="shared" ref="R132:R195" si="13">IF($E132&gt;0,$G132+2*$H132+$I132+2*$J132+$K132+2*$L132,0)</f>
        <v>0</v>
      </c>
      <c r="S132" s="106">
        <f t="shared" ref="S132:S195" si="14">IF($E132&gt;0,SUM($G132:$L132),0)</f>
        <v>0</v>
      </c>
    </row>
    <row r="133" spans="17:19" x14ac:dyDescent="0.3">
      <c r="Q133" s="104" t="str">
        <f t="shared" si="12"/>
        <v>December</v>
      </c>
      <c r="R133" s="106">
        <f t="shared" si="13"/>
        <v>0</v>
      </c>
      <c r="S133" s="106">
        <f t="shared" si="14"/>
        <v>0</v>
      </c>
    </row>
    <row r="134" spans="17:19" x14ac:dyDescent="0.3">
      <c r="Q134" s="104" t="str">
        <f t="shared" si="12"/>
        <v>December</v>
      </c>
      <c r="R134" s="106">
        <f t="shared" si="13"/>
        <v>0</v>
      </c>
      <c r="S134" s="106">
        <f t="shared" si="14"/>
        <v>0</v>
      </c>
    </row>
    <row r="135" spans="17:19" x14ac:dyDescent="0.3">
      <c r="Q135" s="104" t="str">
        <f t="shared" si="12"/>
        <v>December</v>
      </c>
      <c r="R135" s="106">
        <f t="shared" si="13"/>
        <v>0</v>
      </c>
      <c r="S135" s="106">
        <f t="shared" si="14"/>
        <v>0</v>
      </c>
    </row>
    <row r="136" spans="17:19" x14ac:dyDescent="0.3">
      <c r="Q136" s="104" t="str">
        <f t="shared" si="12"/>
        <v>December</v>
      </c>
      <c r="R136" s="106">
        <f t="shared" si="13"/>
        <v>0</v>
      </c>
      <c r="S136" s="106">
        <f t="shared" si="14"/>
        <v>0</v>
      </c>
    </row>
    <row r="137" spans="17:19" x14ac:dyDescent="0.3">
      <c r="Q137" s="104" t="str">
        <f t="shared" si="12"/>
        <v>December</v>
      </c>
      <c r="R137" s="106">
        <f t="shared" si="13"/>
        <v>0</v>
      </c>
      <c r="S137" s="106">
        <f t="shared" si="14"/>
        <v>0</v>
      </c>
    </row>
    <row r="138" spans="17:19" x14ac:dyDescent="0.3">
      <c r="Q138" s="104" t="str">
        <f t="shared" si="12"/>
        <v>December</v>
      </c>
      <c r="R138" s="106">
        <f t="shared" si="13"/>
        <v>0</v>
      </c>
      <c r="S138" s="106">
        <f t="shared" si="14"/>
        <v>0</v>
      </c>
    </row>
    <row r="139" spans="17:19" x14ac:dyDescent="0.3">
      <c r="Q139" s="104" t="str">
        <f t="shared" si="12"/>
        <v>December</v>
      </c>
      <c r="R139" s="106">
        <f t="shared" si="13"/>
        <v>0</v>
      </c>
      <c r="S139" s="106">
        <f t="shared" si="14"/>
        <v>0</v>
      </c>
    </row>
    <row r="140" spans="17:19" x14ac:dyDescent="0.3">
      <c r="Q140" s="104" t="str">
        <f t="shared" si="12"/>
        <v>December</v>
      </c>
      <c r="R140" s="106">
        <f t="shared" si="13"/>
        <v>0</v>
      </c>
      <c r="S140" s="106">
        <f t="shared" si="14"/>
        <v>0</v>
      </c>
    </row>
    <row r="141" spans="17:19" x14ac:dyDescent="0.3">
      <c r="Q141" s="104" t="str">
        <f t="shared" si="12"/>
        <v>December</v>
      </c>
      <c r="R141" s="106">
        <f t="shared" si="13"/>
        <v>0</v>
      </c>
      <c r="S141" s="106">
        <f t="shared" si="14"/>
        <v>0</v>
      </c>
    </row>
    <row r="142" spans="17:19" x14ac:dyDescent="0.3">
      <c r="Q142" s="104" t="str">
        <f t="shared" si="12"/>
        <v>December</v>
      </c>
      <c r="R142" s="106">
        <f t="shared" si="13"/>
        <v>0</v>
      </c>
      <c r="S142" s="106">
        <f t="shared" si="14"/>
        <v>0</v>
      </c>
    </row>
    <row r="143" spans="17:19" x14ac:dyDescent="0.3">
      <c r="Q143" s="104" t="str">
        <f t="shared" si="12"/>
        <v>December</v>
      </c>
      <c r="R143" s="106">
        <f t="shared" si="13"/>
        <v>0</v>
      </c>
      <c r="S143" s="106">
        <f t="shared" si="14"/>
        <v>0</v>
      </c>
    </row>
    <row r="144" spans="17:19" x14ac:dyDescent="0.3">
      <c r="Q144" s="104" t="str">
        <f t="shared" si="12"/>
        <v>December</v>
      </c>
      <c r="R144" s="106">
        <f t="shared" si="13"/>
        <v>0</v>
      </c>
      <c r="S144" s="106">
        <f t="shared" si="14"/>
        <v>0</v>
      </c>
    </row>
    <row r="145" spans="17:19" x14ac:dyDescent="0.3">
      <c r="Q145" s="104" t="str">
        <f t="shared" si="12"/>
        <v>December</v>
      </c>
      <c r="R145" s="106">
        <f t="shared" si="13"/>
        <v>0</v>
      </c>
      <c r="S145" s="106">
        <f t="shared" si="14"/>
        <v>0</v>
      </c>
    </row>
    <row r="146" spans="17:19" x14ac:dyDescent="0.3">
      <c r="Q146" s="104" t="str">
        <f t="shared" si="12"/>
        <v>December</v>
      </c>
      <c r="R146" s="106">
        <f t="shared" si="13"/>
        <v>0</v>
      </c>
      <c r="S146" s="106">
        <f t="shared" si="14"/>
        <v>0</v>
      </c>
    </row>
    <row r="147" spans="17:19" x14ac:dyDescent="0.3">
      <c r="Q147" s="104" t="str">
        <f t="shared" si="12"/>
        <v>December</v>
      </c>
      <c r="R147" s="106">
        <f t="shared" si="13"/>
        <v>0</v>
      </c>
      <c r="S147" s="106">
        <f t="shared" si="14"/>
        <v>0</v>
      </c>
    </row>
    <row r="148" spans="17:19" x14ac:dyDescent="0.3">
      <c r="Q148" s="104" t="str">
        <f t="shared" si="12"/>
        <v>December</v>
      </c>
      <c r="R148" s="106">
        <f t="shared" si="13"/>
        <v>0</v>
      </c>
      <c r="S148" s="106">
        <f t="shared" si="14"/>
        <v>0</v>
      </c>
    </row>
    <row r="149" spans="17:19" x14ac:dyDescent="0.3">
      <c r="Q149" s="104" t="str">
        <f t="shared" si="12"/>
        <v>December</v>
      </c>
      <c r="R149" s="106">
        <f t="shared" si="13"/>
        <v>0</v>
      </c>
      <c r="S149" s="106">
        <f t="shared" si="14"/>
        <v>0</v>
      </c>
    </row>
    <row r="150" spans="17:19" x14ac:dyDescent="0.3">
      <c r="Q150" s="104" t="str">
        <f t="shared" si="12"/>
        <v>December</v>
      </c>
      <c r="R150" s="106">
        <f t="shared" si="13"/>
        <v>0</v>
      </c>
      <c r="S150" s="106">
        <f t="shared" si="14"/>
        <v>0</v>
      </c>
    </row>
    <row r="151" spans="17:19" x14ac:dyDescent="0.3">
      <c r="Q151" s="104" t="str">
        <f t="shared" si="12"/>
        <v>December</v>
      </c>
      <c r="R151" s="106">
        <f t="shared" si="13"/>
        <v>0</v>
      </c>
      <c r="S151" s="106">
        <f t="shared" si="14"/>
        <v>0</v>
      </c>
    </row>
    <row r="152" spans="17:19" x14ac:dyDescent="0.3">
      <c r="Q152" s="104" t="str">
        <f t="shared" si="12"/>
        <v>December</v>
      </c>
      <c r="R152" s="106">
        <f t="shared" si="13"/>
        <v>0</v>
      </c>
      <c r="S152" s="106">
        <f t="shared" si="14"/>
        <v>0</v>
      </c>
    </row>
    <row r="153" spans="17:19" x14ac:dyDescent="0.3">
      <c r="Q153" s="104" t="str">
        <f t="shared" si="12"/>
        <v>December</v>
      </c>
      <c r="R153" s="106">
        <f t="shared" si="13"/>
        <v>0</v>
      </c>
      <c r="S153" s="106">
        <f t="shared" si="14"/>
        <v>0</v>
      </c>
    </row>
    <row r="154" spans="17:19" x14ac:dyDescent="0.3">
      <c r="Q154" s="104" t="str">
        <f t="shared" si="12"/>
        <v>December</v>
      </c>
      <c r="R154" s="106">
        <f t="shared" si="13"/>
        <v>0</v>
      </c>
      <c r="S154" s="106">
        <f t="shared" si="14"/>
        <v>0</v>
      </c>
    </row>
    <row r="155" spans="17:19" x14ac:dyDescent="0.3">
      <c r="Q155" s="104" t="str">
        <f t="shared" si="12"/>
        <v>December</v>
      </c>
      <c r="R155" s="106">
        <f t="shared" si="13"/>
        <v>0</v>
      </c>
      <c r="S155" s="106">
        <f t="shared" si="14"/>
        <v>0</v>
      </c>
    </row>
    <row r="156" spans="17:19" x14ac:dyDescent="0.3">
      <c r="Q156" s="104" t="str">
        <f t="shared" si="12"/>
        <v>December</v>
      </c>
      <c r="R156" s="106">
        <f t="shared" si="13"/>
        <v>0</v>
      </c>
      <c r="S156" s="106">
        <f t="shared" si="14"/>
        <v>0</v>
      </c>
    </row>
    <row r="157" spans="17:19" x14ac:dyDescent="0.3">
      <c r="Q157" s="104" t="str">
        <f t="shared" si="12"/>
        <v>December</v>
      </c>
      <c r="R157" s="106">
        <f t="shared" si="13"/>
        <v>0</v>
      </c>
      <c r="S157" s="106">
        <f t="shared" si="14"/>
        <v>0</v>
      </c>
    </row>
    <row r="158" spans="17:19" x14ac:dyDescent="0.3">
      <c r="Q158" s="104" t="str">
        <f t="shared" si="12"/>
        <v>December</v>
      </c>
      <c r="R158" s="106">
        <f t="shared" si="13"/>
        <v>0</v>
      </c>
      <c r="S158" s="106">
        <f t="shared" si="14"/>
        <v>0</v>
      </c>
    </row>
    <row r="159" spans="17:19" x14ac:dyDescent="0.3">
      <c r="Q159" s="104" t="str">
        <f t="shared" si="12"/>
        <v>December</v>
      </c>
      <c r="R159" s="106">
        <f t="shared" si="13"/>
        <v>0</v>
      </c>
      <c r="S159" s="106">
        <f t="shared" si="14"/>
        <v>0</v>
      </c>
    </row>
    <row r="160" spans="17:19" x14ac:dyDescent="0.3">
      <c r="Q160" s="104" t="str">
        <f t="shared" si="12"/>
        <v>December</v>
      </c>
      <c r="R160" s="106">
        <f t="shared" si="13"/>
        <v>0</v>
      </c>
      <c r="S160" s="106">
        <f t="shared" si="14"/>
        <v>0</v>
      </c>
    </row>
    <row r="161" spans="17:19" x14ac:dyDescent="0.3">
      <c r="Q161" s="104" t="str">
        <f t="shared" si="12"/>
        <v>December</v>
      </c>
      <c r="R161" s="106">
        <f t="shared" si="13"/>
        <v>0</v>
      </c>
      <c r="S161" s="106">
        <f t="shared" si="14"/>
        <v>0</v>
      </c>
    </row>
    <row r="162" spans="17:19" x14ac:dyDescent="0.3">
      <c r="Q162" s="104" t="str">
        <f t="shared" si="12"/>
        <v>December</v>
      </c>
      <c r="R162" s="106">
        <f t="shared" si="13"/>
        <v>0</v>
      </c>
      <c r="S162" s="106">
        <f t="shared" si="14"/>
        <v>0</v>
      </c>
    </row>
    <row r="163" spans="17:19" x14ac:dyDescent="0.3">
      <c r="Q163" s="104" t="str">
        <f t="shared" si="12"/>
        <v>December</v>
      </c>
      <c r="R163" s="106">
        <f t="shared" si="13"/>
        <v>0</v>
      </c>
      <c r="S163" s="106">
        <f t="shared" si="14"/>
        <v>0</v>
      </c>
    </row>
    <row r="164" spans="17:19" x14ac:dyDescent="0.3">
      <c r="Q164" s="104" t="str">
        <f t="shared" si="12"/>
        <v>December</v>
      </c>
      <c r="R164" s="106">
        <f t="shared" si="13"/>
        <v>0</v>
      </c>
      <c r="S164" s="106">
        <f t="shared" si="14"/>
        <v>0</v>
      </c>
    </row>
    <row r="165" spans="17:19" x14ac:dyDescent="0.3">
      <c r="Q165" s="104" t="str">
        <f t="shared" si="12"/>
        <v>December</v>
      </c>
      <c r="R165" s="106">
        <f t="shared" si="13"/>
        <v>0</v>
      </c>
      <c r="S165" s="106">
        <f t="shared" si="14"/>
        <v>0</v>
      </c>
    </row>
    <row r="166" spans="17:19" x14ac:dyDescent="0.3">
      <c r="Q166" s="104" t="str">
        <f t="shared" si="12"/>
        <v>December</v>
      </c>
      <c r="R166" s="106">
        <f t="shared" si="13"/>
        <v>0</v>
      </c>
      <c r="S166" s="106">
        <f t="shared" si="14"/>
        <v>0</v>
      </c>
    </row>
    <row r="167" spans="17:19" x14ac:dyDescent="0.3">
      <c r="Q167" s="104" t="str">
        <f t="shared" si="12"/>
        <v>December</v>
      </c>
      <c r="R167" s="106">
        <f t="shared" si="13"/>
        <v>0</v>
      </c>
      <c r="S167" s="106">
        <f t="shared" si="14"/>
        <v>0</v>
      </c>
    </row>
    <row r="168" spans="17:19" x14ac:dyDescent="0.3">
      <c r="Q168" s="104" t="str">
        <f t="shared" si="12"/>
        <v>December</v>
      </c>
      <c r="R168" s="106">
        <f t="shared" si="13"/>
        <v>0</v>
      </c>
      <c r="S168" s="106">
        <f t="shared" si="14"/>
        <v>0</v>
      </c>
    </row>
    <row r="169" spans="17:19" x14ac:dyDescent="0.3">
      <c r="Q169" s="104" t="str">
        <f t="shared" si="12"/>
        <v>December</v>
      </c>
      <c r="R169" s="106">
        <f t="shared" si="13"/>
        <v>0</v>
      </c>
      <c r="S169" s="106">
        <f t="shared" si="14"/>
        <v>0</v>
      </c>
    </row>
    <row r="170" spans="17:19" x14ac:dyDescent="0.3">
      <c r="Q170" s="104" t="str">
        <f t="shared" si="12"/>
        <v>December</v>
      </c>
      <c r="R170" s="106">
        <f t="shared" si="13"/>
        <v>0</v>
      </c>
      <c r="S170" s="106">
        <f t="shared" si="14"/>
        <v>0</v>
      </c>
    </row>
    <row r="171" spans="17:19" x14ac:dyDescent="0.3">
      <c r="Q171" s="104" t="str">
        <f t="shared" si="12"/>
        <v>December</v>
      </c>
      <c r="R171" s="106">
        <f t="shared" si="13"/>
        <v>0</v>
      </c>
      <c r="S171" s="106">
        <f t="shared" si="14"/>
        <v>0</v>
      </c>
    </row>
    <row r="172" spans="17:19" x14ac:dyDescent="0.3">
      <c r="Q172" s="104" t="str">
        <f t="shared" si="12"/>
        <v>December</v>
      </c>
      <c r="R172" s="106">
        <f t="shared" si="13"/>
        <v>0</v>
      </c>
      <c r="S172" s="106">
        <f t="shared" si="14"/>
        <v>0</v>
      </c>
    </row>
    <row r="173" spans="17:19" x14ac:dyDescent="0.3">
      <c r="Q173" s="104" t="str">
        <f t="shared" si="12"/>
        <v>December</v>
      </c>
      <c r="R173" s="106">
        <f t="shared" si="13"/>
        <v>0</v>
      </c>
      <c r="S173" s="106">
        <f t="shared" si="14"/>
        <v>0</v>
      </c>
    </row>
    <row r="174" spans="17:19" x14ac:dyDescent="0.3">
      <c r="Q174" s="104" t="str">
        <f t="shared" si="12"/>
        <v>December</v>
      </c>
      <c r="R174" s="106">
        <f t="shared" si="13"/>
        <v>0</v>
      </c>
      <c r="S174" s="106">
        <f t="shared" si="14"/>
        <v>0</v>
      </c>
    </row>
    <row r="175" spans="17:19" x14ac:dyDescent="0.3">
      <c r="Q175" s="104" t="str">
        <f t="shared" si="12"/>
        <v>December</v>
      </c>
      <c r="R175" s="106">
        <f t="shared" si="13"/>
        <v>0</v>
      </c>
      <c r="S175" s="106">
        <f t="shared" si="14"/>
        <v>0</v>
      </c>
    </row>
    <row r="176" spans="17:19" x14ac:dyDescent="0.3">
      <c r="Q176" s="104" t="str">
        <f t="shared" si="12"/>
        <v>December</v>
      </c>
      <c r="R176" s="106">
        <f t="shared" si="13"/>
        <v>0</v>
      </c>
      <c r="S176" s="106">
        <f t="shared" si="14"/>
        <v>0</v>
      </c>
    </row>
    <row r="177" spans="17:19" x14ac:dyDescent="0.3">
      <c r="Q177" s="104" t="str">
        <f t="shared" si="12"/>
        <v>December</v>
      </c>
      <c r="R177" s="106">
        <f t="shared" si="13"/>
        <v>0</v>
      </c>
      <c r="S177" s="106">
        <f t="shared" si="14"/>
        <v>0</v>
      </c>
    </row>
    <row r="178" spans="17:19" x14ac:dyDescent="0.3">
      <c r="Q178" s="104" t="str">
        <f t="shared" si="12"/>
        <v>December</v>
      </c>
      <c r="R178" s="106">
        <f t="shared" si="13"/>
        <v>0</v>
      </c>
      <c r="S178" s="106">
        <f t="shared" si="14"/>
        <v>0</v>
      </c>
    </row>
    <row r="179" spans="17:19" x14ac:dyDescent="0.3">
      <c r="Q179" s="104" t="str">
        <f t="shared" si="12"/>
        <v>December</v>
      </c>
      <c r="R179" s="106">
        <f t="shared" si="13"/>
        <v>0</v>
      </c>
      <c r="S179" s="106">
        <f t="shared" si="14"/>
        <v>0</v>
      </c>
    </row>
    <row r="180" spans="17:19" x14ac:dyDescent="0.3">
      <c r="Q180" s="104" t="str">
        <f t="shared" si="12"/>
        <v>December</v>
      </c>
      <c r="R180" s="106">
        <f t="shared" si="13"/>
        <v>0</v>
      </c>
      <c r="S180" s="106">
        <f t="shared" si="14"/>
        <v>0</v>
      </c>
    </row>
    <row r="181" spans="17:19" x14ac:dyDescent="0.3">
      <c r="Q181" s="104" t="str">
        <f t="shared" si="12"/>
        <v>December</v>
      </c>
      <c r="R181" s="106">
        <f t="shared" si="13"/>
        <v>0</v>
      </c>
      <c r="S181" s="106">
        <f t="shared" si="14"/>
        <v>0</v>
      </c>
    </row>
    <row r="182" spans="17:19" x14ac:dyDescent="0.3">
      <c r="Q182" s="104" t="str">
        <f t="shared" si="12"/>
        <v>December</v>
      </c>
      <c r="R182" s="106">
        <f t="shared" si="13"/>
        <v>0</v>
      </c>
      <c r="S182" s="106">
        <f t="shared" si="14"/>
        <v>0</v>
      </c>
    </row>
    <row r="183" spans="17:19" x14ac:dyDescent="0.3">
      <c r="Q183" s="104" t="str">
        <f t="shared" si="12"/>
        <v>December</v>
      </c>
      <c r="R183" s="106">
        <f t="shared" si="13"/>
        <v>0</v>
      </c>
      <c r="S183" s="106">
        <f t="shared" si="14"/>
        <v>0</v>
      </c>
    </row>
    <row r="184" spans="17:19" x14ac:dyDescent="0.3">
      <c r="Q184" s="104" t="str">
        <f t="shared" si="12"/>
        <v>December</v>
      </c>
      <c r="R184" s="106">
        <f t="shared" si="13"/>
        <v>0</v>
      </c>
      <c r="S184" s="106">
        <f t="shared" si="14"/>
        <v>0</v>
      </c>
    </row>
    <row r="185" spans="17:19" x14ac:dyDescent="0.3">
      <c r="Q185" s="104" t="str">
        <f t="shared" si="12"/>
        <v>December</v>
      </c>
      <c r="R185" s="106">
        <f t="shared" si="13"/>
        <v>0</v>
      </c>
      <c r="S185" s="106">
        <f t="shared" si="14"/>
        <v>0</v>
      </c>
    </row>
    <row r="186" spans="17:19" x14ac:dyDescent="0.3">
      <c r="Q186" s="104" t="str">
        <f t="shared" si="12"/>
        <v>December</v>
      </c>
      <c r="R186" s="106">
        <f t="shared" si="13"/>
        <v>0</v>
      </c>
      <c r="S186" s="106">
        <f t="shared" si="14"/>
        <v>0</v>
      </c>
    </row>
    <row r="187" spans="17:19" x14ac:dyDescent="0.3">
      <c r="Q187" s="104" t="str">
        <f t="shared" si="12"/>
        <v>December</v>
      </c>
      <c r="R187" s="106">
        <f t="shared" si="13"/>
        <v>0</v>
      </c>
      <c r="S187" s="106">
        <f t="shared" si="14"/>
        <v>0</v>
      </c>
    </row>
    <row r="188" spans="17:19" x14ac:dyDescent="0.3">
      <c r="Q188" s="104" t="str">
        <f t="shared" si="12"/>
        <v>December</v>
      </c>
      <c r="R188" s="106">
        <f t="shared" si="13"/>
        <v>0</v>
      </c>
      <c r="S188" s="106">
        <f t="shared" si="14"/>
        <v>0</v>
      </c>
    </row>
    <row r="189" spans="17:19" x14ac:dyDescent="0.3">
      <c r="Q189" s="104" t="str">
        <f t="shared" si="12"/>
        <v>December</v>
      </c>
      <c r="R189" s="106">
        <f t="shared" si="13"/>
        <v>0</v>
      </c>
      <c r="S189" s="106">
        <f t="shared" si="14"/>
        <v>0</v>
      </c>
    </row>
    <row r="190" spans="17:19" x14ac:dyDescent="0.3">
      <c r="Q190" s="104" t="str">
        <f t="shared" si="12"/>
        <v>December</v>
      </c>
      <c r="R190" s="106">
        <f t="shared" si="13"/>
        <v>0</v>
      </c>
      <c r="S190" s="106">
        <f t="shared" si="14"/>
        <v>0</v>
      </c>
    </row>
    <row r="191" spans="17:19" x14ac:dyDescent="0.3">
      <c r="Q191" s="104" t="str">
        <f t="shared" si="12"/>
        <v>December</v>
      </c>
      <c r="R191" s="106">
        <f t="shared" si="13"/>
        <v>0</v>
      </c>
      <c r="S191" s="106">
        <f t="shared" si="14"/>
        <v>0</v>
      </c>
    </row>
    <row r="192" spans="17:19" x14ac:dyDescent="0.3">
      <c r="Q192" s="104" t="str">
        <f t="shared" si="12"/>
        <v>December</v>
      </c>
      <c r="R192" s="106">
        <f t="shared" si="13"/>
        <v>0</v>
      </c>
      <c r="S192" s="106">
        <f t="shared" si="14"/>
        <v>0</v>
      </c>
    </row>
    <row r="193" spans="17:19" x14ac:dyDescent="0.3">
      <c r="Q193" s="104" t="str">
        <f t="shared" si="12"/>
        <v>December</v>
      </c>
      <c r="R193" s="106">
        <f t="shared" si="13"/>
        <v>0</v>
      </c>
      <c r="S193" s="106">
        <f t="shared" si="14"/>
        <v>0</v>
      </c>
    </row>
    <row r="194" spans="17:19" x14ac:dyDescent="0.3">
      <c r="Q194" s="104" t="str">
        <f t="shared" si="12"/>
        <v>December</v>
      </c>
      <c r="R194" s="106">
        <f t="shared" si="13"/>
        <v>0</v>
      </c>
      <c r="S194" s="106">
        <f t="shared" si="14"/>
        <v>0</v>
      </c>
    </row>
    <row r="195" spans="17:19" x14ac:dyDescent="0.3">
      <c r="Q195" s="104" t="str">
        <f t="shared" si="12"/>
        <v>December</v>
      </c>
      <c r="R195" s="106">
        <f t="shared" si="13"/>
        <v>0</v>
      </c>
      <c r="S195" s="106">
        <f t="shared" si="14"/>
        <v>0</v>
      </c>
    </row>
    <row r="196" spans="17:19" x14ac:dyDescent="0.3">
      <c r="Q196" s="104" t="str">
        <f t="shared" ref="Q196:Q259" si="15">IF($A196&lt;&gt;"",$A196,Q195)</f>
        <v>December</v>
      </c>
      <c r="R196" s="106">
        <f t="shared" ref="R196:R259" si="16">IF($E196&gt;0,$G196+2*$H196+$I196+2*$J196+$K196+2*$L196,0)</f>
        <v>0</v>
      </c>
      <c r="S196" s="106">
        <f t="shared" ref="S196:S259" si="17">IF($E196&gt;0,SUM($G196:$L196),0)</f>
        <v>0</v>
      </c>
    </row>
    <row r="197" spans="17:19" x14ac:dyDescent="0.3">
      <c r="Q197" s="104" t="str">
        <f t="shared" si="15"/>
        <v>December</v>
      </c>
      <c r="R197" s="106">
        <f t="shared" si="16"/>
        <v>0</v>
      </c>
      <c r="S197" s="106">
        <f t="shared" si="17"/>
        <v>0</v>
      </c>
    </row>
    <row r="198" spans="17:19" x14ac:dyDescent="0.3">
      <c r="Q198" s="104" t="str">
        <f t="shared" si="15"/>
        <v>December</v>
      </c>
      <c r="R198" s="106">
        <f t="shared" si="16"/>
        <v>0</v>
      </c>
      <c r="S198" s="106">
        <f t="shared" si="17"/>
        <v>0</v>
      </c>
    </row>
    <row r="199" spans="17:19" x14ac:dyDescent="0.3">
      <c r="Q199" s="104" t="str">
        <f t="shared" si="15"/>
        <v>December</v>
      </c>
      <c r="R199" s="106">
        <f t="shared" si="16"/>
        <v>0</v>
      </c>
      <c r="S199" s="106">
        <f t="shared" si="17"/>
        <v>0</v>
      </c>
    </row>
    <row r="200" spans="17:19" x14ac:dyDescent="0.3">
      <c r="Q200" s="104" t="str">
        <f t="shared" si="15"/>
        <v>December</v>
      </c>
      <c r="R200" s="106">
        <f t="shared" si="16"/>
        <v>0</v>
      </c>
      <c r="S200" s="106">
        <f t="shared" si="17"/>
        <v>0</v>
      </c>
    </row>
    <row r="201" spans="17:19" x14ac:dyDescent="0.3">
      <c r="Q201" s="104" t="str">
        <f t="shared" si="15"/>
        <v>December</v>
      </c>
      <c r="R201" s="106">
        <f t="shared" si="16"/>
        <v>0</v>
      </c>
      <c r="S201" s="106">
        <f t="shared" si="17"/>
        <v>0</v>
      </c>
    </row>
    <row r="202" spans="17:19" x14ac:dyDescent="0.3">
      <c r="Q202" s="104" t="str">
        <f t="shared" si="15"/>
        <v>December</v>
      </c>
      <c r="R202" s="106">
        <f t="shared" si="16"/>
        <v>0</v>
      </c>
      <c r="S202" s="106">
        <f t="shared" si="17"/>
        <v>0</v>
      </c>
    </row>
    <row r="203" spans="17:19" x14ac:dyDescent="0.3">
      <c r="Q203" s="104" t="str">
        <f t="shared" si="15"/>
        <v>December</v>
      </c>
      <c r="R203" s="106">
        <f t="shared" si="16"/>
        <v>0</v>
      </c>
      <c r="S203" s="106">
        <f t="shared" si="17"/>
        <v>0</v>
      </c>
    </row>
    <row r="204" spans="17:19" x14ac:dyDescent="0.3">
      <c r="Q204" s="104" t="str">
        <f t="shared" si="15"/>
        <v>December</v>
      </c>
      <c r="R204" s="106">
        <f t="shared" si="16"/>
        <v>0</v>
      </c>
      <c r="S204" s="106">
        <f t="shared" si="17"/>
        <v>0</v>
      </c>
    </row>
    <row r="205" spans="17:19" x14ac:dyDescent="0.3">
      <c r="Q205" s="104" t="str">
        <f t="shared" si="15"/>
        <v>December</v>
      </c>
      <c r="R205" s="106">
        <f t="shared" si="16"/>
        <v>0</v>
      </c>
      <c r="S205" s="106">
        <f t="shared" si="17"/>
        <v>0</v>
      </c>
    </row>
    <row r="206" spans="17:19" x14ac:dyDescent="0.3">
      <c r="Q206" s="104" t="str">
        <f t="shared" si="15"/>
        <v>December</v>
      </c>
      <c r="R206" s="106">
        <f t="shared" si="16"/>
        <v>0</v>
      </c>
      <c r="S206" s="106">
        <f t="shared" si="17"/>
        <v>0</v>
      </c>
    </row>
    <row r="207" spans="17:19" x14ac:dyDescent="0.3">
      <c r="Q207" s="104" t="str">
        <f t="shared" si="15"/>
        <v>December</v>
      </c>
      <c r="R207" s="106">
        <f t="shared" si="16"/>
        <v>0</v>
      </c>
      <c r="S207" s="106">
        <f t="shared" si="17"/>
        <v>0</v>
      </c>
    </row>
    <row r="208" spans="17:19" x14ac:dyDescent="0.3">
      <c r="Q208" s="104" t="str">
        <f t="shared" si="15"/>
        <v>December</v>
      </c>
      <c r="R208" s="106">
        <f t="shared" si="16"/>
        <v>0</v>
      </c>
      <c r="S208" s="106">
        <f t="shared" si="17"/>
        <v>0</v>
      </c>
    </row>
    <row r="209" spans="17:19" x14ac:dyDescent="0.3">
      <c r="Q209" s="104" t="str">
        <f t="shared" si="15"/>
        <v>December</v>
      </c>
      <c r="R209" s="106">
        <f t="shared" si="16"/>
        <v>0</v>
      </c>
      <c r="S209" s="106">
        <f t="shared" si="17"/>
        <v>0</v>
      </c>
    </row>
    <row r="210" spans="17:19" x14ac:dyDescent="0.3">
      <c r="Q210" s="104" t="str">
        <f t="shared" si="15"/>
        <v>December</v>
      </c>
      <c r="R210" s="106">
        <f t="shared" si="16"/>
        <v>0</v>
      </c>
      <c r="S210" s="106">
        <f t="shared" si="17"/>
        <v>0</v>
      </c>
    </row>
    <row r="211" spans="17:19" x14ac:dyDescent="0.3">
      <c r="Q211" s="104" t="str">
        <f t="shared" si="15"/>
        <v>December</v>
      </c>
      <c r="R211" s="106">
        <f t="shared" si="16"/>
        <v>0</v>
      </c>
      <c r="S211" s="106">
        <f t="shared" si="17"/>
        <v>0</v>
      </c>
    </row>
    <row r="212" spans="17:19" x14ac:dyDescent="0.3">
      <c r="Q212" s="104" t="str">
        <f t="shared" si="15"/>
        <v>December</v>
      </c>
      <c r="R212" s="106">
        <f t="shared" si="16"/>
        <v>0</v>
      </c>
      <c r="S212" s="106">
        <f t="shared" si="17"/>
        <v>0</v>
      </c>
    </row>
    <row r="213" spans="17:19" x14ac:dyDescent="0.3">
      <c r="Q213" s="104" t="str">
        <f t="shared" si="15"/>
        <v>December</v>
      </c>
      <c r="R213" s="106">
        <f t="shared" si="16"/>
        <v>0</v>
      </c>
      <c r="S213" s="106">
        <f t="shared" si="17"/>
        <v>0</v>
      </c>
    </row>
    <row r="214" spans="17:19" x14ac:dyDescent="0.3">
      <c r="Q214" s="104" t="str">
        <f t="shared" si="15"/>
        <v>December</v>
      </c>
      <c r="R214" s="106">
        <f t="shared" si="16"/>
        <v>0</v>
      </c>
      <c r="S214" s="106">
        <f t="shared" si="17"/>
        <v>0</v>
      </c>
    </row>
    <row r="215" spans="17:19" x14ac:dyDescent="0.3">
      <c r="Q215" s="104" t="str">
        <f t="shared" si="15"/>
        <v>December</v>
      </c>
      <c r="R215" s="106">
        <f t="shared" si="16"/>
        <v>0</v>
      </c>
      <c r="S215" s="106">
        <f t="shared" si="17"/>
        <v>0</v>
      </c>
    </row>
    <row r="216" spans="17:19" x14ac:dyDescent="0.3">
      <c r="Q216" s="104" t="str">
        <f t="shared" si="15"/>
        <v>December</v>
      </c>
      <c r="R216" s="106">
        <f t="shared" si="16"/>
        <v>0</v>
      </c>
      <c r="S216" s="106">
        <f t="shared" si="17"/>
        <v>0</v>
      </c>
    </row>
    <row r="217" spans="17:19" x14ac:dyDescent="0.3">
      <c r="Q217" s="104" t="str">
        <f t="shared" si="15"/>
        <v>December</v>
      </c>
      <c r="R217" s="106">
        <f t="shared" si="16"/>
        <v>0</v>
      </c>
      <c r="S217" s="106">
        <f t="shared" si="17"/>
        <v>0</v>
      </c>
    </row>
    <row r="218" spans="17:19" x14ac:dyDescent="0.3">
      <c r="Q218" s="104" t="str">
        <f t="shared" si="15"/>
        <v>December</v>
      </c>
      <c r="R218" s="106">
        <f t="shared" si="16"/>
        <v>0</v>
      </c>
      <c r="S218" s="106">
        <f t="shared" si="17"/>
        <v>0</v>
      </c>
    </row>
    <row r="219" spans="17:19" x14ac:dyDescent="0.3">
      <c r="Q219" s="104" t="str">
        <f t="shared" si="15"/>
        <v>December</v>
      </c>
      <c r="R219" s="106">
        <f t="shared" si="16"/>
        <v>0</v>
      </c>
      <c r="S219" s="106">
        <f t="shared" si="17"/>
        <v>0</v>
      </c>
    </row>
    <row r="220" spans="17:19" x14ac:dyDescent="0.3">
      <c r="Q220" s="104" t="str">
        <f t="shared" si="15"/>
        <v>December</v>
      </c>
      <c r="R220" s="106">
        <f t="shared" si="16"/>
        <v>0</v>
      </c>
      <c r="S220" s="106">
        <f t="shared" si="17"/>
        <v>0</v>
      </c>
    </row>
    <row r="221" spans="17:19" x14ac:dyDescent="0.3">
      <c r="Q221" s="104" t="str">
        <f t="shared" si="15"/>
        <v>December</v>
      </c>
      <c r="R221" s="106">
        <f t="shared" si="16"/>
        <v>0</v>
      </c>
      <c r="S221" s="106">
        <f t="shared" si="17"/>
        <v>0</v>
      </c>
    </row>
    <row r="222" spans="17:19" x14ac:dyDescent="0.3">
      <c r="Q222" s="104" t="str">
        <f t="shared" si="15"/>
        <v>December</v>
      </c>
      <c r="R222" s="106">
        <f t="shared" si="16"/>
        <v>0</v>
      </c>
      <c r="S222" s="106">
        <f t="shared" si="17"/>
        <v>0</v>
      </c>
    </row>
    <row r="223" spans="17:19" x14ac:dyDescent="0.3">
      <c r="Q223" s="104" t="str">
        <f t="shared" si="15"/>
        <v>December</v>
      </c>
      <c r="R223" s="106">
        <f t="shared" si="16"/>
        <v>0</v>
      </c>
      <c r="S223" s="106">
        <f t="shared" si="17"/>
        <v>0</v>
      </c>
    </row>
    <row r="224" spans="17:19" x14ac:dyDescent="0.3">
      <c r="Q224" s="104" t="str">
        <f t="shared" si="15"/>
        <v>December</v>
      </c>
      <c r="R224" s="106">
        <f t="shared" si="16"/>
        <v>0</v>
      </c>
      <c r="S224" s="106">
        <f t="shared" si="17"/>
        <v>0</v>
      </c>
    </row>
    <row r="225" spans="17:19" x14ac:dyDescent="0.3">
      <c r="Q225" s="104" t="str">
        <f t="shared" si="15"/>
        <v>December</v>
      </c>
      <c r="R225" s="106">
        <f t="shared" si="16"/>
        <v>0</v>
      </c>
      <c r="S225" s="106">
        <f t="shared" si="17"/>
        <v>0</v>
      </c>
    </row>
    <row r="226" spans="17:19" x14ac:dyDescent="0.3">
      <c r="Q226" s="104" t="str">
        <f t="shared" si="15"/>
        <v>December</v>
      </c>
      <c r="R226" s="106">
        <f t="shared" si="16"/>
        <v>0</v>
      </c>
      <c r="S226" s="106">
        <f t="shared" si="17"/>
        <v>0</v>
      </c>
    </row>
    <row r="227" spans="17:19" x14ac:dyDescent="0.3">
      <c r="Q227" s="104" t="str">
        <f t="shared" si="15"/>
        <v>December</v>
      </c>
      <c r="R227" s="106">
        <f t="shared" si="16"/>
        <v>0</v>
      </c>
      <c r="S227" s="106">
        <f t="shared" si="17"/>
        <v>0</v>
      </c>
    </row>
    <row r="228" spans="17:19" x14ac:dyDescent="0.3">
      <c r="Q228" s="104" t="str">
        <f t="shared" si="15"/>
        <v>December</v>
      </c>
      <c r="R228" s="106">
        <f t="shared" si="16"/>
        <v>0</v>
      </c>
      <c r="S228" s="106">
        <f t="shared" si="17"/>
        <v>0</v>
      </c>
    </row>
    <row r="229" spans="17:19" x14ac:dyDescent="0.3">
      <c r="Q229" s="104" t="str">
        <f t="shared" si="15"/>
        <v>December</v>
      </c>
      <c r="R229" s="106">
        <f t="shared" si="16"/>
        <v>0</v>
      </c>
      <c r="S229" s="106">
        <f t="shared" si="17"/>
        <v>0</v>
      </c>
    </row>
    <row r="230" spans="17:19" x14ac:dyDescent="0.3">
      <c r="Q230" s="104" t="str">
        <f t="shared" si="15"/>
        <v>December</v>
      </c>
      <c r="R230" s="106">
        <f t="shared" si="16"/>
        <v>0</v>
      </c>
      <c r="S230" s="106">
        <f t="shared" si="17"/>
        <v>0</v>
      </c>
    </row>
    <row r="231" spans="17:19" x14ac:dyDescent="0.3">
      <c r="Q231" s="104" t="str">
        <f t="shared" si="15"/>
        <v>December</v>
      </c>
      <c r="R231" s="106">
        <f t="shared" si="16"/>
        <v>0</v>
      </c>
      <c r="S231" s="106">
        <f t="shared" si="17"/>
        <v>0</v>
      </c>
    </row>
    <row r="232" spans="17:19" x14ac:dyDescent="0.3">
      <c r="Q232" s="104" t="str">
        <f t="shared" si="15"/>
        <v>December</v>
      </c>
      <c r="R232" s="106">
        <f t="shared" si="16"/>
        <v>0</v>
      </c>
      <c r="S232" s="106">
        <f t="shared" si="17"/>
        <v>0</v>
      </c>
    </row>
    <row r="233" spans="17:19" x14ac:dyDescent="0.3">
      <c r="Q233" s="104" t="str">
        <f t="shared" si="15"/>
        <v>December</v>
      </c>
      <c r="R233" s="106">
        <f t="shared" si="16"/>
        <v>0</v>
      </c>
      <c r="S233" s="106">
        <f t="shared" si="17"/>
        <v>0</v>
      </c>
    </row>
    <row r="234" spans="17:19" x14ac:dyDescent="0.3">
      <c r="Q234" s="104" t="str">
        <f t="shared" si="15"/>
        <v>December</v>
      </c>
      <c r="R234" s="106">
        <f t="shared" si="16"/>
        <v>0</v>
      </c>
      <c r="S234" s="106">
        <f t="shared" si="17"/>
        <v>0</v>
      </c>
    </row>
    <row r="235" spans="17:19" x14ac:dyDescent="0.3">
      <c r="Q235" s="104" t="str">
        <f t="shared" si="15"/>
        <v>December</v>
      </c>
      <c r="R235" s="106">
        <f t="shared" si="16"/>
        <v>0</v>
      </c>
      <c r="S235" s="106">
        <f t="shared" si="17"/>
        <v>0</v>
      </c>
    </row>
    <row r="236" spans="17:19" x14ac:dyDescent="0.3">
      <c r="Q236" s="104" t="str">
        <f t="shared" si="15"/>
        <v>December</v>
      </c>
      <c r="R236" s="106">
        <f t="shared" si="16"/>
        <v>0</v>
      </c>
      <c r="S236" s="106">
        <f t="shared" si="17"/>
        <v>0</v>
      </c>
    </row>
    <row r="237" spans="17:19" x14ac:dyDescent="0.3">
      <c r="Q237" s="104" t="str">
        <f t="shared" si="15"/>
        <v>December</v>
      </c>
      <c r="R237" s="106">
        <f t="shared" si="16"/>
        <v>0</v>
      </c>
      <c r="S237" s="106">
        <f t="shared" si="17"/>
        <v>0</v>
      </c>
    </row>
    <row r="238" spans="17:19" x14ac:dyDescent="0.3">
      <c r="Q238" s="104" t="str">
        <f t="shared" si="15"/>
        <v>December</v>
      </c>
      <c r="R238" s="106">
        <f t="shared" si="16"/>
        <v>0</v>
      </c>
      <c r="S238" s="106">
        <f t="shared" si="17"/>
        <v>0</v>
      </c>
    </row>
    <row r="239" spans="17:19" x14ac:dyDescent="0.3">
      <c r="Q239" s="104" t="str">
        <f t="shared" si="15"/>
        <v>December</v>
      </c>
      <c r="R239" s="106">
        <f t="shared" si="16"/>
        <v>0</v>
      </c>
      <c r="S239" s="106">
        <f t="shared" si="17"/>
        <v>0</v>
      </c>
    </row>
    <row r="240" spans="17:19" x14ac:dyDescent="0.3">
      <c r="Q240" s="104" t="str">
        <f t="shared" si="15"/>
        <v>December</v>
      </c>
      <c r="R240" s="106">
        <f t="shared" si="16"/>
        <v>0</v>
      </c>
      <c r="S240" s="106">
        <f t="shared" si="17"/>
        <v>0</v>
      </c>
    </row>
    <row r="241" spans="17:19" x14ac:dyDescent="0.3">
      <c r="Q241" s="104" t="str">
        <f t="shared" si="15"/>
        <v>December</v>
      </c>
      <c r="R241" s="106">
        <f t="shared" si="16"/>
        <v>0</v>
      </c>
      <c r="S241" s="106">
        <f t="shared" si="17"/>
        <v>0</v>
      </c>
    </row>
    <row r="242" spans="17:19" x14ac:dyDescent="0.3">
      <c r="Q242" s="104" t="str">
        <f t="shared" si="15"/>
        <v>December</v>
      </c>
      <c r="R242" s="106">
        <f t="shared" si="16"/>
        <v>0</v>
      </c>
      <c r="S242" s="106">
        <f t="shared" si="17"/>
        <v>0</v>
      </c>
    </row>
    <row r="243" spans="17:19" x14ac:dyDescent="0.3">
      <c r="Q243" s="104" t="str">
        <f t="shared" si="15"/>
        <v>December</v>
      </c>
      <c r="R243" s="106">
        <f t="shared" si="16"/>
        <v>0</v>
      </c>
      <c r="S243" s="106">
        <f t="shared" si="17"/>
        <v>0</v>
      </c>
    </row>
    <row r="244" spans="17:19" x14ac:dyDescent="0.3">
      <c r="Q244" s="104" t="str">
        <f t="shared" si="15"/>
        <v>December</v>
      </c>
      <c r="R244" s="106">
        <f t="shared" si="16"/>
        <v>0</v>
      </c>
      <c r="S244" s="106">
        <f t="shared" si="17"/>
        <v>0</v>
      </c>
    </row>
    <row r="245" spans="17:19" x14ac:dyDescent="0.3">
      <c r="Q245" s="104" t="str">
        <f t="shared" si="15"/>
        <v>December</v>
      </c>
      <c r="R245" s="106">
        <f t="shared" si="16"/>
        <v>0</v>
      </c>
      <c r="S245" s="106">
        <f t="shared" si="17"/>
        <v>0</v>
      </c>
    </row>
    <row r="246" spans="17:19" x14ac:dyDescent="0.3">
      <c r="Q246" s="104" t="str">
        <f t="shared" si="15"/>
        <v>December</v>
      </c>
      <c r="R246" s="106">
        <f t="shared" si="16"/>
        <v>0</v>
      </c>
      <c r="S246" s="106">
        <f t="shared" si="17"/>
        <v>0</v>
      </c>
    </row>
    <row r="247" spans="17:19" x14ac:dyDescent="0.3">
      <c r="Q247" s="104" t="str">
        <f t="shared" si="15"/>
        <v>December</v>
      </c>
      <c r="R247" s="106">
        <f t="shared" si="16"/>
        <v>0</v>
      </c>
      <c r="S247" s="106">
        <f t="shared" si="17"/>
        <v>0</v>
      </c>
    </row>
    <row r="248" spans="17:19" x14ac:dyDescent="0.3">
      <c r="Q248" s="104" t="str">
        <f t="shared" si="15"/>
        <v>December</v>
      </c>
      <c r="R248" s="106">
        <f t="shared" si="16"/>
        <v>0</v>
      </c>
      <c r="S248" s="106">
        <f t="shared" si="17"/>
        <v>0</v>
      </c>
    </row>
    <row r="249" spans="17:19" x14ac:dyDescent="0.3">
      <c r="Q249" s="104" t="str">
        <f t="shared" si="15"/>
        <v>December</v>
      </c>
      <c r="R249" s="106">
        <f t="shared" si="16"/>
        <v>0</v>
      </c>
      <c r="S249" s="106">
        <f t="shared" si="17"/>
        <v>0</v>
      </c>
    </row>
    <row r="250" spans="17:19" x14ac:dyDescent="0.3">
      <c r="Q250" s="104" t="str">
        <f t="shared" si="15"/>
        <v>December</v>
      </c>
      <c r="R250" s="106">
        <f t="shared" si="16"/>
        <v>0</v>
      </c>
      <c r="S250" s="106">
        <f t="shared" si="17"/>
        <v>0</v>
      </c>
    </row>
    <row r="251" spans="17:19" x14ac:dyDescent="0.3">
      <c r="Q251" s="104" t="str">
        <f t="shared" si="15"/>
        <v>December</v>
      </c>
      <c r="R251" s="106">
        <f t="shared" si="16"/>
        <v>0</v>
      </c>
      <c r="S251" s="106">
        <f t="shared" si="17"/>
        <v>0</v>
      </c>
    </row>
    <row r="252" spans="17:19" x14ac:dyDescent="0.3">
      <c r="Q252" s="104" t="str">
        <f t="shared" si="15"/>
        <v>December</v>
      </c>
      <c r="R252" s="106">
        <f t="shared" si="16"/>
        <v>0</v>
      </c>
      <c r="S252" s="106">
        <f t="shared" si="17"/>
        <v>0</v>
      </c>
    </row>
    <row r="253" spans="17:19" x14ac:dyDescent="0.3">
      <c r="Q253" s="104" t="str">
        <f t="shared" si="15"/>
        <v>December</v>
      </c>
      <c r="R253" s="106">
        <f t="shared" si="16"/>
        <v>0</v>
      </c>
      <c r="S253" s="106">
        <f t="shared" si="17"/>
        <v>0</v>
      </c>
    </row>
    <row r="254" spans="17:19" x14ac:dyDescent="0.3">
      <c r="Q254" s="104" t="str">
        <f t="shared" si="15"/>
        <v>December</v>
      </c>
      <c r="R254" s="106">
        <f t="shared" si="16"/>
        <v>0</v>
      </c>
      <c r="S254" s="106">
        <f t="shared" si="17"/>
        <v>0</v>
      </c>
    </row>
    <row r="255" spans="17:19" x14ac:dyDescent="0.3">
      <c r="Q255" s="104" t="str">
        <f t="shared" si="15"/>
        <v>December</v>
      </c>
      <c r="R255" s="106">
        <f t="shared" si="16"/>
        <v>0</v>
      </c>
      <c r="S255" s="106">
        <f t="shared" si="17"/>
        <v>0</v>
      </c>
    </row>
    <row r="256" spans="17:19" x14ac:dyDescent="0.3">
      <c r="Q256" s="104" t="str">
        <f t="shared" si="15"/>
        <v>December</v>
      </c>
      <c r="R256" s="106">
        <f t="shared" si="16"/>
        <v>0</v>
      </c>
      <c r="S256" s="106">
        <f t="shared" si="17"/>
        <v>0</v>
      </c>
    </row>
    <row r="257" spans="17:19" x14ac:dyDescent="0.3">
      <c r="Q257" s="104" t="str">
        <f t="shared" si="15"/>
        <v>December</v>
      </c>
      <c r="R257" s="106">
        <f t="shared" si="16"/>
        <v>0</v>
      </c>
      <c r="S257" s="106">
        <f t="shared" si="17"/>
        <v>0</v>
      </c>
    </row>
    <row r="258" spans="17:19" x14ac:dyDescent="0.3">
      <c r="Q258" s="104" t="str">
        <f t="shared" si="15"/>
        <v>December</v>
      </c>
      <c r="R258" s="106">
        <f t="shared" si="16"/>
        <v>0</v>
      </c>
      <c r="S258" s="106">
        <f t="shared" si="17"/>
        <v>0</v>
      </c>
    </row>
    <row r="259" spans="17:19" x14ac:dyDescent="0.3">
      <c r="Q259" s="104" t="str">
        <f t="shared" si="15"/>
        <v>December</v>
      </c>
      <c r="R259" s="106">
        <f t="shared" si="16"/>
        <v>0</v>
      </c>
      <c r="S259" s="106">
        <f t="shared" si="17"/>
        <v>0</v>
      </c>
    </row>
    <row r="260" spans="17:19" x14ac:dyDescent="0.3">
      <c r="Q260" s="104" t="str">
        <f t="shared" ref="Q260:Q323" si="18">IF($A260&lt;&gt;"",$A260,Q259)</f>
        <v>December</v>
      </c>
      <c r="R260" s="106">
        <f t="shared" ref="R260:R323" si="19">IF($E260&gt;0,$G260+2*$H260+$I260+2*$J260+$K260+2*$L260,0)</f>
        <v>0</v>
      </c>
      <c r="S260" s="106">
        <f t="shared" ref="S260:S323" si="20">IF($E260&gt;0,SUM($G260:$L260),0)</f>
        <v>0</v>
      </c>
    </row>
    <row r="261" spans="17:19" x14ac:dyDescent="0.3">
      <c r="Q261" s="104" t="str">
        <f t="shared" si="18"/>
        <v>December</v>
      </c>
      <c r="R261" s="106">
        <f t="shared" si="19"/>
        <v>0</v>
      </c>
      <c r="S261" s="106">
        <f t="shared" si="20"/>
        <v>0</v>
      </c>
    </row>
    <row r="262" spans="17:19" x14ac:dyDescent="0.3">
      <c r="Q262" s="104" t="str">
        <f t="shared" si="18"/>
        <v>December</v>
      </c>
      <c r="R262" s="106">
        <f t="shared" si="19"/>
        <v>0</v>
      </c>
      <c r="S262" s="106">
        <f t="shared" si="20"/>
        <v>0</v>
      </c>
    </row>
    <row r="263" spans="17:19" x14ac:dyDescent="0.3">
      <c r="Q263" s="104" t="str">
        <f t="shared" si="18"/>
        <v>December</v>
      </c>
      <c r="R263" s="106">
        <f t="shared" si="19"/>
        <v>0</v>
      </c>
      <c r="S263" s="106">
        <f t="shared" si="20"/>
        <v>0</v>
      </c>
    </row>
    <row r="264" spans="17:19" x14ac:dyDescent="0.3">
      <c r="Q264" s="104" t="str">
        <f t="shared" si="18"/>
        <v>December</v>
      </c>
      <c r="R264" s="106">
        <f t="shared" si="19"/>
        <v>0</v>
      </c>
      <c r="S264" s="106">
        <f t="shared" si="20"/>
        <v>0</v>
      </c>
    </row>
    <row r="265" spans="17:19" x14ac:dyDescent="0.3">
      <c r="Q265" s="104" t="str">
        <f t="shared" si="18"/>
        <v>December</v>
      </c>
      <c r="R265" s="106">
        <f t="shared" si="19"/>
        <v>0</v>
      </c>
      <c r="S265" s="106">
        <f t="shared" si="20"/>
        <v>0</v>
      </c>
    </row>
    <row r="266" spans="17:19" x14ac:dyDescent="0.3">
      <c r="Q266" s="104" t="str">
        <f t="shared" si="18"/>
        <v>December</v>
      </c>
      <c r="R266" s="106">
        <f t="shared" si="19"/>
        <v>0</v>
      </c>
      <c r="S266" s="106">
        <f t="shared" si="20"/>
        <v>0</v>
      </c>
    </row>
    <row r="267" spans="17:19" x14ac:dyDescent="0.3">
      <c r="Q267" s="104" t="str">
        <f t="shared" si="18"/>
        <v>December</v>
      </c>
      <c r="R267" s="106">
        <f t="shared" si="19"/>
        <v>0</v>
      </c>
      <c r="S267" s="106">
        <f t="shared" si="20"/>
        <v>0</v>
      </c>
    </row>
    <row r="268" spans="17:19" x14ac:dyDescent="0.3">
      <c r="Q268" s="104" t="str">
        <f t="shared" si="18"/>
        <v>December</v>
      </c>
      <c r="R268" s="106">
        <f t="shared" si="19"/>
        <v>0</v>
      </c>
      <c r="S268" s="106">
        <f t="shared" si="20"/>
        <v>0</v>
      </c>
    </row>
    <row r="269" spans="17:19" x14ac:dyDescent="0.3">
      <c r="Q269" s="104" t="str">
        <f t="shared" si="18"/>
        <v>December</v>
      </c>
      <c r="R269" s="106">
        <f t="shared" si="19"/>
        <v>0</v>
      </c>
      <c r="S269" s="106">
        <f t="shared" si="20"/>
        <v>0</v>
      </c>
    </row>
    <row r="270" spans="17:19" x14ac:dyDescent="0.3">
      <c r="Q270" s="104" t="str">
        <f t="shared" si="18"/>
        <v>December</v>
      </c>
      <c r="R270" s="106">
        <f t="shared" si="19"/>
        <v>0</v>
      </c>
      <c r="S270" s="106">
        <f t="shared" si="20"/>
        <v>0</v>
      </c>
    </row>
    <row r="271" spans="17:19" x14ac:dyDescent="0.3">
      <c r="Q271" s="104" t="str">
        <f t="shared" si="18"/>
        <v>December</v>
      </c>
      <c r="R271" s="106">
        <f t="shared" si="19"/>
        <v>0</v>
      </c>
      <c r="S271" s="106">
        <f t="shared" si="20"/>
        <v>0</v>
      </c>
    </row>
    <row r="272" spans="17:19" x14ac:dyDescent="0.3">
      <c r="Q272" s="104" t="str">
        <f t="shared" si="18"/>
        <v>December</v>
      </c>
      <c r="R272" s="106">
        <f t="shared" si="19"/>
        <v>0</v>
      </c>
      <c r="S272" s="106">
        <f t="shared" si="20"/>
        <v>0</v>
      </c>
    </row>
    <row r="273" spans="17:19" x14ac:dyDescent="0.3">
      <c r="Q273" s="104" t="str">
        <f t="shared" si="18"/>
        <v>December</v>
      </c>
      <c r="R273" s="106">
        <f t="shared" si="19"/>
        <v>0</v>
      </c>
      <c r="S273" s="106">
        <f t="shared" si="20"/>
        <v>0</v>
      </c>
    </row>
    <row r="274" spans="17:19" x14ac:dyDescent="0.3">
      <c r="Q274" s="104" t="str">
        <f t="shared" si="18"/>
        <v>December</v>
      </c>
      <c r="R274" s="106">
        <f t="shared" si="19"/>
        <v>0</v>
      </c>
      <c r="S274" s="106">
        <f t="shared" si="20"/>
        <v>0</v>
      </c>
    </row>
    <row r="275" spans="17:19" x14ac:dyDescent="0.3">
      <c r="Q275" s="104" t="str">
        <f t="shared" si="18"/>
        <v>December</v>
      </c>
      <c r="R275" s="106">
        <f t="shared" si="19"/>
        <v>0</v>
      </c>
      <c r="S275" s="106">
        <f t="shared" si="20"/>
        <v>0</v>
      </c>
    </row>
    <row r="276" spans="17:19" x14ac:dyDescent="0.3">
      <c r="Q276" s="104" t="str">
        <f t="shared" si="18"/>
        <v>December</v>
      </c>
      <c r="R276" s="106">
        <f t="shared" si="19"/>
        <v>0</v>
      </c>
      <c r="S276" s="106">
        <f t="shared" si="20"/>
        <v>0</v>
      </c>
    </row>
    <row r="277" spans="17:19" x14ac:dyDescent="0.3">
      <c r="Q277" s="104" t="str">
        <f t="shared" si="18"/>
        <v>December</v>
      </c>
      <c r="R277" s="106">
        <f t="shared" si="19"/>
        <v>0</v>
      </c>
      <c r="S277" s="106">
        <f t="shared" si="20"/>
        <v>0</v>
      </c>
    </row>
    <row r="278" spans="17:19" x14ac:dyDescent="0.3">
      <c r="Q278" s="104" t="str">
        <f t="shared" si="18"/>
        <v>December</v>
      </c>
      <c r="R278" s="106">
        <f t="shared" si="19"/>
        <v>0</v>
      </c>
      <c r="S278" s="106">
        <f t="shared" si="20"/>
        <v>0</v>
      </c>
    </row>
    <row r="279" spans="17:19" x14ac:dyDescent="0.3">
      <c r="Q279" s="104" t="str">
        <f t="shared" si="18"/>
        <v>December</v>
      </c>
      <c r="R279" s="106">
        <f t="shared" si="19"/>
        <v>0</v>
      </c>
      <c r="S279" s="106">
        <f t="shared" si="20"/>
        <v>0</v>
      </c>
    </row>
    <row r="280" spans="17:19" x14ac:dyDescent="0.3">
      <c r="Q280" s="104" t="str">
        <f t="shared" si="18"/>
        <v>December</v>
      </c>
      <c r="R280" s="106">
        <f t="shared" si="19"/>
        <v>0</v>
      </c>
      <c r="S280" s="106">
        <f t="shared" si="20"/>
        <v>0</v>
      </c>
    </row>
    <row r="281" spans="17:19" x14ac:dyDescent="0.3">
      <c r="Q281" s="104" t="str">
        <f t="shared" si="18"/>
        <v>December</v>
      </c>
      <c r="R281" s="106">
        <f t="shared" si="19"/>
        <v>0</v>
      </c>
      <c r="S281" s="106">
        <f t="shared" si="20"/>
        <v>0</v>
      </c>
    </row>
    <row r="282" spans="17:19" x14ac:dyDescent="0.3">
      <c r="Q282" s="104" t="str">
        <f t="shared" si="18"/>
        <v>December</v>
      </c>
      <c r="R282" s="106">
        <f t="shared" si="19"/>
        <v>0</v>
      </c>
      <c r="S282" s="106">
        <f t="shared" si="20"/>
        <v>0</v>
      </c>
    </row>
    <row r="283" spans="17:19" x14ac:dyDescent="0.3">
      <c r="Q283" s="104" t="str">
        <f t="shared" si="18"/>
        <v>December</v>
      </c>
      <c r="R283" s="106">
        <f t="shared" si="19"/>
        <v>0</v>
      </c>
      <c r="S283" s="106">
        <f t="shared" si="20"/>
        <v>0</v>
      </c>
    </row>
    <row r="284" spans="17:19" x14ac:dyDescent="0.3">
      <c r="Q284" s="104" t="str">
        <f t="shared" si="18"/>
        <v>December</v>
      </c>
      <c r="R284" s="106">
        <f t="shared" si="19"/>
        <v>0</v>
      </c>
      <c r="S284" s="106">
        <f t="shared" si="20"/>
        <v>0</v>
      </c>
    </row>
    <row r="285" spans="17:19" x14ac:dyDescent="0.3">
      <c r="Q285" s="104" t="str">
        <f t="shared" si="18"/>
        <v>December</v>
      </c>
      <c r="R285" s="106">
        <f t="shared" si="19"/>
        <v>0</v>
      </c>
      <c r="S285" s="106">
        <f t="shared" si="20"/>
        <v>0</v>
      </c>
    </row>
    <row r="286" spans="17:19" x14ac:dyDescent="0.3">
      <c r="Q286" s="104" t="str">
        <f t="shared" si="18"/>
        <v>December</v>
      </c>
      <c r="R286" s="106">
        <f t="shared" si="19"/>
        <v>0</v>
      </c>
      <c r="S286" s="106">
        <f t="shared" si="20"/>
        <v>0</v>
      </c>
    </row>
    <row r="287" spans="17:19" x14ac:dyDescent="0.3">
      <c r="Q287" s="104" t="str">
        <f t="shared" si="18"/>
        <v>December</v>
      </c>
      <c r="R287" s="106">
        <f t="shared" si="19"/>
        <v>0</v>
      </c>
      <c r="S287" s="106">
        <f t="shared" si="20"/>
        <v>0</v>
      </c>
    </row>
    <row r="288" spans="17:19" x14ac:dyDescent="0.3">
      <c r="Q288" s="104" t="str">
        <f t="shared" si="18"/>
        <v>December</v>
      </c>
      <c r="R288" s="106">
        <f t="shared" si="19"/>
        <v>0</v>
      </c>
      <c r="S288" s="106">
        <f t="shared" si="20"/>
        <v>0</v>
      </c>
    </row>
    <row r="289" spans="17:19" x14ac:dyDescent="0.3">
      <c r="Q289" s="104" t="str">
        <f t="shared" si="18"/>
        <v>December</v>
      </c>
      <c r="R289" s="106">
        <f t="shared" si="19"/>
        <v>0</v>
      </c>
      <c r="S289" s="106">
        <f t="shared" si="20"/>
        <v>0</v>
      </c>
    </row>
    <row r="290" spans="17:19" x14ac:dyDescent="0.3">
      <c r="Q290" s="104" t="str">
        <f t="shared" si="18"/>
        <v>December</v>
      </c>
      <c r="R290" s="106">
        <f t="shared" si="19"/>
        <v>0</v>
      </c>
      <c r="S290" s="106">
        <f t="shared" si="20"/>
        <v>0</v>
      </c>
    </row>
    <row r="291" spans="17:19" x14ac:dyDescent="0.3">
      <c r="Q291" s="104" t="str">
        <f t="shared" si="18"/>
        <v>December</v>
      </c>
      <c r="R291" s="106">
        <f t="shared" si="19"/>
        <v>0</v>
      </c>
      <c r="S291" s="106">
        <f t="shared" si="20"/>
        <v>0</v>
      </c>
    </row>
    <row r="292" spans="17:19" x14ac:dyDescent="0.3">
      <c r="Q292" s="104" t="str">
        <f t="shared" si="18"/>
        <v>December</v>
      </c>
      <c r="R292" s="106">
        <f t="shared" si="19"/>
        <v>0</v>
      </c>
      <c r="S292" s="106">
        <f t="shared" si="20"/>
        <v>0</v>
      </c>
    </row>
    <row r="293" spans="17:19" x14ac:dyDescent="0.3">
      <c r="Q293" s="104" t="str">
        <f t="shared" si="18"/>
        <v>December</v>
      </c>
      <c r="R293" s="106">
        <f t="shared" si="19"/>
        <v>0</v>
      </c>
      <c r="S293" s="106">
        <f t="shared" si="20"/>
        <v>0</v>
      </c>
    </row>
    <row r="294" spans="17:19" x14ac:dyDescent="0.3">
      <c r="Q294" s="104" t="str">
        <f t="shared" si="18"/>
        <v>December</v>
      </c>
      <c r="R294" s="106">
        <f t="shared" si="19"/>
        <v>0</v>
      </c>
      <c r="S294" s="106">
        <f t="shared" si="20"/>
        <v>0</v>
      </c>
    </row>
    <row r="295" spans="17:19" x14ac:dyDescent="0.3">
      <c r="Q295" s="104" t="str">
        <f t="shared" si="18"/>
        <v>December</v>
      </c>
      <c r="R295" s="106">
        <f t="shared" si="19"/>
        <v>0</v>
      </c>
      <c r="S295" s="106">
        <f t="shared" si="20"/>
        <v>0</v>
      </c>
    </row>
    <row r="296" spans="17:19" x14ac:dyDescent="0.3">
      <c r="Q296" s="104" t="str">
        <f t="shared" si="18"/>
        <v>December</v>
      </c>
      <c r="R296" s="106">
        <f t="shared" si="19"/>
        <v>0</v>
      </c>
      <c r="S296" s="106">
        <f t="shared" si="20"/>
        <v>0</v>
      </c>
    </row>
    <row r="297" spans="17:19" x14ac:dyDescent="0.3">
      <c r="Q297" s="104" t="str">
        <f t="shared" si="18"/>
        <v>December</v>
      </c>
      <c r="R297" s="106">
        <f t="shared" si="19"/>
        <v>0</v>
      </c>
      <c r="S297" s="106">
        <f t="shared" si="20"/>
        <v>0</v>
      </c>
    </row>
    <row r="298" spans="17:19" x14ac:dyDescent="0.3">
      <c r="Q298" s="104" t="str">
        <f t="shared" si="18"/>
        <v>December</v>
      </c>
      <c r="R298" s="106">
        <f t="shared" si="19"/>
        <v>0</v>
      </c>
      <c r="S298" s="106">
        <f t="shared" si="20"/>
        <v>0</v>
      </c>
    </row>
    <row r="299" spans="17:19" x14ac:dyDescent="0.3">
      <c r="Q299" s="104" t="str">
        <f t="shared" si="18"/>
        <v>December</v>
      </c>
      <c r="R299" s="106">
        <f t="shared" si="19"/>
        <v>0</v>
      </c>
      <c r="S299" s="106">
        <f t="shared" si="20"/>
        <v>0</v>
      </c>
    </row>
    <row r="300" spans="17:19" x14ac:dyDescent="0.3">
      <c r="Q300" s="104" t="str">
        <f t="shared" si="18"/>
        <v>December</v>
      </c>
      <c r="R300" s="106">
        <f t="shared" si="19"/>
        <v>0</v>
      </c>
      <c r="S300" s="106">
        <f t="shared" si="20"/>
        <v>0</v>
      </c>
    </row>
    <row r="301" spans="17:19" x14ac:dyDescent="0.3">
      <c r="Q301" s="104" t="str">
        <f t="shared" si="18"/>
        <v>December</v>
      </c>
      <c r="R301" s="106">
        <f t="shared" si="19"/>
        <v>0</v>
      </c>
      <c r="S301" s="106">
        <f t="shared" si="20"/>
        <v>0</v>
      </c>
    </row>
    <row r="302" spans="17:19" x14ac:dyDescent="0.3">
      <c r="Q302" s="104" t="str">
        <f t="shared" si="18"/>
        <v>December</v>
      </c>
      <c r="R302" s="106">
        <f t="shared" si="19"/>
        <v>0</v>
      </c>
      <c r="S302" s="106">
        <f t="shared" si="20"/>
        <v>0</v>
      </c>
    </row>
    <row r="303" spans="17:19" x14ac:dyDescent="0.3">
      <c r="Q303" s="104" t="str">
        <f t="shared" si="18"/>
        <v>December</v>
      </c>
      <c r="R303" s="106">
        <f t="shared" si="19"/>
        <v>0</v>
      </c>
      <c r="S303" s="106">
        <f t="shared" si="20"/>
        <v>0</v>
      </c>
    </row>
    <row r="304" spans="17:19" x14ac:dyDescent="0.3">
      <c r="Q304" s="104" t="str">
        <f t="shared" si="18"/>
        <v>December</v>
      </c>
      <c r="R304" s="106">
        <f t="shared" si="19"/>
        <v>0</v>
      </c>
      <c r="S304" s="106">
        <f t="shared" si="20"/>
        <v>0</v>
      </c>
    </row>
    <row r="305" spans="17:19" x14ac:dyDescent="0.3">
      <c r="Q305" s="104" t="str">
        <f t="shared" si="18"/>
        <v>December</v>
      </c>
      <c r="R305" s="106">
        <f t="shared" si="19"/>
        <v>0</v>
      </c>
      <c r="S305" s="106">
        <f t="shared" si="20"/>
        <v>0</v>
      </c>
    </row>
    <row r="306" spans="17:19" x14ac:dyDescent="0.3">
      <c r="Q306" s="104" t="str">
        <f t="shared" si="18"/>
        <v>December</v>
      </c>
      <c r="R306" s="106">
        <f t="shared" si="19"/>
        <v>0</v>
      </c>
      <c r="S306" s="106">
        <f t="shared" si="20"/>
        <v>0</v>
      </c>
    </row>
    <row r="307" spans="17:19" x14ac:dyDescent="0.3">
      <c r="Q307" s="104" t="str">
        <f t="shared" si="18"/>
        <v>December</v>
      </c>
      <c r="R307" s="106">
        <f t="shared" si="19"/>
        <v>0</v>
      </c>
      <c r="S307" s="106">
        <f t="shared" si="20"/>
        <v>0</v>
      </c>
    </row>
    <row r="308" spans="17:19" x14ac:dyDescent="0.3">
      <c r="Q308" s="104" t="str">
        <f t="shared" si="18"/>
        <v>December</v>
      </c>
      <c r="R308" s="106">
        <f t="shared" si="19"/>
        <v>0</v>
      </c>
      <c r="S308" s="106">
        <f t="shared" si="20"/>
        <v>0</v>
      </c>
    </row>
    <row r="309" spans="17:19" x14ac:dyDescent="0.3">
      <c r="Q309" s="104" t="str">
        <f t="shared" si="18"/>
        <v>December</v>
      </c>
      <c r="R309" s="106">
        <f t="shared" si="19"/>
        <v>0</v>
      </c>
      <c r="S309" s="106">
        <f t="shared" si="20"/>
        <v>0</v>
      </c>
    </row>
    <row r="310" spans="17:19" x14ac:dyDescent="0.3">
      <c r="Q310" s="104" t="str">
        <f t="shared" si="18"/>
        <v>December</v>
      </c>
      <c r="R310" s="106">
        <f t="shared" si="19"/>
        <v>0</v>
      </c>
      <c r="S310" s="106">
        <f t="shared" si="20"/>
        <v>0</v>
      </c>
    </row>
    <row r="311" spans="17:19" x14ac:dyDescent="0.3">
      <c r="Q311" s="104" t="str">
        <f t="shared" si="18"/>
        <v>December</v>
      </c>
      <c r="R311" s="106">
        <f t="shared" si="19"/>
        <v>0</v>
      </c>
      <c r="S311" s="106">
        <f t="shared" si="20"/>
        <v>0</v>
      </c>
    </row>
    <row r="312" spans="17:19" x14ac:dyDescent="0.3">
      <c r="Q312" s="104" t="str">
        <f t="shared" si="18"/>
        <v>December</v>
      </c>
      <c r="R312" s="106">
        <f t="shared" si="19"/>
        <v>0</v>
      </c>
      <c r="S312" s="106">
        <f t="shared" si="20"/>
        <v>0</v>
      </c>
    </row>
    <row r="313" spans="17:19" x14ac:dyDescent="0.3">
      <c r="Q313" s="104" t="str">
        <f t="shared" si="18"/>
        <v>December</v>
      </c>
      <c r="R313" s="106">
        <f t="shared" si="19"/>
        <v>0</v>
      </c>
      <c r="S313" s="106">
        <f t="shared" si="20"/>
        <v>0</v>
      </c>
    </row>
    <row r="314" spans="17:19" x14ac:dyDescent="0.3">
      <c r="Q314" s="104" t="str">
        <f t="shared" si="18"/>
        <v>December</v>
      </c>
      <c r="R314" s="106">
        <f t="shared" si="19"/>
        <v>0</v>
      </c>
      <c r="S314" s="106">
        <f t="shared" si="20"/>
        <v>0</v>
      </c>
    </row>
    <row r="315" spans="17:19" x14ac:dyDescent="0.3">
      <c r="Q315" s="104" t="str">
        <f t="shared" si="18"/>
        <v>December</v>
      </c>
      <c r="R315" s="106">
        <f t="shared" si="19"/>
        <v>0</v>
      </c>
      <c r="S315" s="106">
        <f t="shared" si="20"/>
        <v>0</v>
      </c>
    </row>
    <row r="316" spans="17:19" x14ac:dyDescent="0.3">
      <c r="Q316" s="104" t="str">
        <f t="shared" si="18"/>
        <v>December</v>
      </c>
      <c r="R316" s="106">
        <f t="shared" si="19"/>
        <v>0</v>
      </c>
      <c r="S316" s="106">
        <f t="shared" si="20"/>
        <v>0</v>
      </c>
    </row>
    <row r="317" spans="17:19" x14ac:dyDescent="0.3">
      <c r="Q317" s="104" t="str">
        <f t="shared" si="18"/>
        <v>December</v>
      </c>
      <c r="R317" s="106">
        <f t="shared" si="19"/>
        <v>0</v>
      </c>
      <c r="S317" s="106">
        <f t="shared" si="20"/>
        <v>0</v>
      </c>
    </row>
    <row r="318" spans="17:19" x14ac:dyDescent="0.3">
      <c r="Q318" s="104" t="str">
        <f t="shared" si="18"/>
        <v>December</v>
      </c>
      <c r="R318" s="106">
        <f t="shared" si="19"/>
        <v>0</v>
      </c>
      <c r="S318" s="106">
        <f t="shared" si="20"/>
        <v>0</v>
      </c>
    </row>
    <row r="319" spans="17:19" x14ac:dyDescent="0.3">
      <c r="Q319" s="104" t="str">
        <f t="shared" si="18"/>
        <v>December</v>
      </c>
      <c r="R319" s="106">
        <f t="shared" si="19"/>
        <v>0</v>
      </c>
      <c r="S319" s="106">
        <f t="shared" si="20"/>
        <v>0</v>
      </c>
    </row>
    <row r="320" spans="17:19" x14ac:dyDescent="0.3">
      <c r="Q320" s="104" t="str">
        <f t="shared" si="18"/>
        <v>December</v>
      </c>
      <c r="R320" s="106">
        <f t="shared" si="19"/>
        <v>0</v>
      </c>
      <c r="S320" s="106">
        <f t="shared" si="20"/>
        <v>0</v>
      </c>
    </row>
    <row r="321" spans="17:19" x14ac:dyDescent="0.3">
      <c r="Q321" s="104" t="str">
        <f t="shared" si="18"/>
        <v>December</v>
      </c>
      <c r="R321" s="106">
        <f t="shared" si="19"/>
        <v>0</v>
      </c>
      <c r="S321" s="106">
        <f t="shared" si="20"/>
        <v>0</v>
      </c>
    </row>
    <row r="322" spans="17:19" x14ac:dyDescent="0.3">
      <c r="Q322" s="104" t="str">
        <f t="shared" si="18"/>
        <v>December</v>
      </c>
      <c r="R322" s="106">
        <f t="shared" si="19"/>
        <v>0</v>
      </c>
      <c r="S322" s="106">
        <f t="shared" si="20"/>
        <v>0</v>
      </c>
    </row>
    <row r="323" spans="17:19" x14ac:dyDescent="0.3">
      <c r="Q323" s="104" t="str">
        <f t="shared" si="18"/>
        <v>December</v>
      </c>
      <c r="R323" s="106">
        <f t="shared" si="19"/>
        <v>0</v>
      </c>
      <c r="S323" s="106">
        <f t="shared" si="20"/>
        <v>0</v>
      </c>
    </row>
    <row r="324" spans="17:19" x14ac:dyDescent="0.3">
      <c r="Q324" s="104" t="str">
        <f t="shared" ref="Q324:Q387" si="21">IF($A324&lt;&gt;"",$A324,Q323)</f>
        <v>December</v>
      </c>
      <c r="R324" s="106">
        <f t="shared" ref="R324:R387" si="22">IF($E324&gt;0,$G324+2*$H324+$I324+2*$J324+$K324+2*$L324,0)</f>
        <v>0</v>
      </c>
      <c r="S324" s="106">
        <f t="shared" ref="S324:S387" si="23">IF($E324&gt;0,SUM($G324:$L324),0)</f>
        <v>0</v>
      </c>
    </row>
    <row r="325" spans="17:19" x14ac:dyDescent="0.3">
      <c r="Q325" s="104" t="str">
        <f t="shared" si="21"/>
        <v>December</v>
      </c>
      <c r="R325" s="106">
        <f t="shared" si="22"/>
        <v>0</v>
      </c>
      <c r="S325" s="106">
        <f t="shared" si="23"/>
        <v>0</v>
      </c>
    </row>
    <row r="326" spans="17:19" x14ac:dyDescent="0.3">
      <c r="Q326" s="104" t="str">
        <f t="shared" si="21"/>
        <v>December</v>
      </c>
      <c r="R326" s="106">
        <f t="shared" si="22"/>
        <v>0</v>
      </c>
      <c r="S326" s="106">
        <f t="shared" si="23"/>
        <v>0</v>
      </c>
    </row>
    <row r="327" spans="17:19" x14ac:dyDescent="0.3">
      <c r="Q327" s="104" t="str">
        <f t="shared" si="21"/>
        <v>December</v>
      </c>
      <c r="R327" s="106">
        <f t="shared" si="22"/>
        <v>0</v>
      </c>
      <c r="S327" s="106">
        <f t="shared" si="23"/>
        <v>0</v>
      </c>
    </row>
    <row r="328" spans="17:19" x14ac:dyDescent="0.3">
      <c r="Q328" s="104" t="str">
        <f t="shared" si="21"/>
        <v>December</v>
      </c>
      <c r="R328" s="106">
        <f t="shared" si="22"/>
        <v>0</v>
      </c>
      <c r="S328" s="106">
        <f t="shared" si="23"/>
        <v>0</v>
      </c>
    </row>
    <row r="329" spans="17:19" x14ac:dyDescent="0.3">
      <c r="Q329" s="104" t="str">
        <f t="shared" si="21"/>
        <v>December</v>
      </c>
      <c r="R329" s="106">
        <f t="shared" si="22"/>
        <v>0</v>
      </c>
      <c r="S329" s="106">
        <f t="shared" si="23"/>
        <v>0</v>
      </c>
    </row>
    <row r="330" spans="17:19" x14ac:dyDescent="0.3">
      <c r="Q330" s="104" t="str">
        <f t="shared" si="21"/>
        <v>December</v>
      </c>
      <c r="R330" s="106">
        <f t="shared" si="22"/>
        <v>0</v>
      </c>
      <c r="S330" s="106">
        <f t="shared" si="23"/>
        <v>0</v>
      </c>
    </row>
    <row r="331" spans="17:19" x14ac:dyDescent="0.3">
      <c r="Q331" s="104" t="str">
        <f t="shared" si="21"/>
        <v>December</v>
      </c>
      <c r="R331" s="106">
        <f t="shared" si="22"/>
        <v>0</v>
      </c>
      <c r="S331" s="106">
        <f t="shared" si="23"/>
        <v>0</v>
      </c>
    </row>
    <row r="332" spans="17:19" x14ac:dyDescent="0.3">
      <c r="Q332" s="104" t="str">
        <f t="shared" si="21"/>
        <v>December</v>
      </c>
      <c r="R332" s="106">
        <f t="shared" si="22"/>
        <v>0</v>
      </c>
      <c r="S332" s="106">
        <f t="shared" si="23"/>
        <v>0</v>
      </c>
    </row>
    <row r="333" spans="17:19" x14ac:dyDescent="0.3">
      <c r="Q333" s="104" t="str">
        <f t="shared" si="21"/>
        <v>December</v>
      </c>
      <c r="R333" s="106">
        <f t="shared" si="22"/>
        <v>0</v>
      </c>
      <c r="S333" s="106">
        <f t="shared" si="23"/>
        <v>0</v>
      </c>
    </row>
    <row r="334" spans="17:19" x14ac:dyDescent="0.3">
      <c r="Q334" s="104" t="str">
        <f t="shared" si="21"/>
        <v>December</v>
      </c>
      <c r="R334" s="106">
        <f t="shared" si="22"/>
        <v>0</v>
      </c>
      <c r="S334" s="106">
        <f t="shared" si="23"/>
        <v>0</v>
      </c>
    </row>
    <row r="335" spans="17:19" x14ac:dyDescent="0.3">
      <c r="Q335" s="104" t="str">
        <f t="shared" si="21"/>
        <v>December</v>
      </c>
      <c r="R335" s="106">
        <f t="shared" si="22"/>
        <v>0</v>
      </c>
      <c r="S335" s="106">
        <f t="shared" si="23"/>
        <v>0</v>
      </c>
    </row>
    <row r="336" spans="17:19" x14ac:dyDescent="0.3">
      <c r="Q336" s="104" t="str">
        <f t="shared" si="21"/>
        <v>December</v>
      </c>
      <c r="R336" s="106">
        <f t="shared" si="22"/>
        <v>0</v>
      </c>
      <c r="S336" s="106">
        <f t="shared" si="23"/>
        <v>0</v>
      </c>
    </row>
    <row r="337" spans="17:19" x14ac:dyDescent="0.3">
      <c r="Q337" s="104" t="str">
        <f t="shared" si="21"/>
        <v>December</v>
      </c>
      <c r="R337" s="106">
        <f t="shared" si="22"/>
        <v>0</v>
      </c>
      <c r="S337" s="106">
        <f t="shared" si="23"/>
        <v>0</v>
      </c>
    </row>
    <row r="338" spans="17:19" x14ac:dyDescent="0.3">
      <c r="Q338" s="104" t="str">
        <f t="shared" si="21"/>
        <v>December</v>
      </c>
      <c r="R338" s="106">
        <f t="shared" si="22"/>
        <v>0</v>
      </c>
      <c r="S338" s="106">
        <f t="shared" si="23"/>
        <v>0</v>
      </c>
    </row>
    <row r="339" spans="17:19" x14ac:dyDescent="0.3">
      <c r="Q339" s="104" t="str">
        <f t="shared" si="21"/>
        <v>December</v>
      </c>
      <c r="R339" s="106">
        <f t="shared" si="22"/>
        <v>0</v>
      </c>
      <c r="S339" s="106">
        <f t="shared" si="23"/>
        <v>0</v>
      </c>
    </row>
    <row r="340" spans="17:19" x14ac:dyDescent="0.3">
      <c r="Q340" s="104" t="str">
        <f t="shared" si="21"/>
        <v>December</v>
      </c>
      <c r="R340" s="106">
        <f t="shared" si="22"/>
        <v>0</v>
      </c>
      <c r="S340" s="106">
        <f t="shared" si="23"/>
        <v>0</v>
      </c>
    </row>
    <row r="341" spans="17:19" x14ac:dyDescent="0.3">
      <c r="Q341" s="104" t="str">
        <f t="shared" si="21"/>
        <v>December</v>
      </c>
      <c r="R341" s="106">
        <f t="shared" si="22"/>
        <v>0</v>
      </c>
      <c r="S341" s="106">
        <f t="shared" si="23"/>
        <v>0</v>
      </c>
    </row>
    <row r="342" spans="17:19" x14ac:dyDescent="0.3">
      <c r="Q342" s="104" t="str">
        <f t="shared" si="21"/>
        <v>December</v>
      </c>
      <c r="R342" s="106">
        <f t="shared" si="22"/>
        <v>0</v>
      </c>
      <c r="S342" s="106">
        <f t="shared" si="23"/>
        <v>0</v>
      </c>
    </row>
    <row r="343" spans="17:19" x14ac:dyDescent="0.3">
      <c r="Q343" s="104" t="str">
        <f t="shared" si="21"/>
        <v>December</v>
      </c>
      <c r="R343" s="106">
        <f t="shared" si="22"/>
        <v>0</v>
      </c>
      <c r="S343" s="106">
        <f t="shared" si="23"/>
        <v>0</v>
      </c>
    </row>
    <row r="344" spans="17:19" x14ac:dyDescent="0.3">
      <c r="Q344" s="104" t="str">
        <f t="shared" si="21"/>
        <v>December</v>
      </c>
      <c r="R344" s="106">
        <f t="shared" si="22"/>
        <v>0</v>
      </c>
      <c r="S344" s="106">
        <f t="shared" si="23"/>
        <v>0</v>
      </c>
    </row>
    <row r="345" spans="17:19" x14ac:dyDescent="0.3">
      <c r="Q345" s="104" t="str">
        <f t="shared" si="21"/>
        <v>December</v>
      </c>
      <c r="R345" s="106">
        <f t="shared" si="22"/>
        <v>0</v>
      </c>
      <c r="S345" s="106">
        <f t="shared" si="23"/>
        <v>0</v>
      </c>
    </row>
    <row r="346" spans="17:19" x14ac:dyDescent="0.3">
      <c r="Q346" s="104" t="str">
        <f t="shared" si="21"/>
        <v>December</v>
      </c>
      <c r="R346" s="106">
        <f t="shared" si="22"/>
        <v>0</v>
      </c>
      <c r="S346" s="106">
        <f t="shared" si="23"/>
        <v>0</v>
      </c>
    </row>
    <row r="347" spans="17:19" x14ac:dyDescent="0.3">
      <c r="Q347" s="104" t="str">
        <f t="shared" si="21"/>
        <v>December</v>
      </c>
      <c r="R347" s="106">
        <f t="shared" si="22"/>
        <v>0</v>
      </c>
      <c r="S347" s="106">
        <f t="shared" si="23"/>
        <v>0</v>
      </c>
    </row>
    <row r="348" spans="17:19" x14ac:dyDescent="0.3">
      <c r="Q348" s="104" t="str">
        <f t="shared" si="21"/>
        <v>December</v>
      </c>
      <c r="R348" s="106">
        <f t="shared" si="22"/>
        <v>0</v>
      </c>
      <c r="S348" s="106">
        <f t="shared" si="23"/>
        <v>0</v>
      </c>
    </row>
    <row r="349" spans="17:19" x14ac:dyDescent="0.3">
      <c r="Q349" s="104" t="str">
        <f t="shared" si="21"/>
        <v>December</v>
      </c>
      <c r="R349" s="106">
        <f t="shared" si="22"/>
        <v>0</v>
      </c>
      <c r="S349" s="106">
        <f t="shared" si="23"/>
        <v>0</v>
      </c>
    </row>
    <row r="350" spans="17:19" x14ac:dyDescent="0.3">
      <c r="Q350" s="104" t="str">
        <f t="shared" si="21"/>
        <v>December</v>
      </c>
      <c r="R350" s="106">
        <f t="shared" si="22"/>
        <v>0</v>
      </c>
      <c r="S350" s="106">
        <f t="shared" si="23"/>
        <v>0</v>
      </c>
    </row>
    <row r="351" spans="17:19" x14ac:dyDescent="0.3">
      <c r="Q351" s="104" t="str">
        <f t="shared" si="21"/>
        <v>December</v>
      </c>
      <c r="R351" s="106">
        <f t="shared" si="22"/>
        <v>0</v>
      </c>
      <c r="S351" s="106">
        <f t="shared" si="23"/>
        <v>0</v>
      </c>
    </row>
    <row r="352" spans="17:19" x14ac:dyDescent="0.3">
      <c r="Q352" s="104" t="str">
        <f t="shared" si="21"/>
        <v>December</v>
      </c>
      <c r="R352" s="106">
        <f t="shared" si="22"/>
        <v>0</v>
      </c>
      <c r="S352" s="106">
        <f t="shared" si="23"/>
        <v>0</v>
      </c>
    </row>
    <row r="353" spans="17:19" x14ac:dyDescent="0.3">
      <c r="Q353" s="104" t="str">
        <f t="shared" si="21"/>
        <v>December</v>
      </c>
      <c r="R353" s="106">
        <f t="shared" si="22"/>
        <v>0</v>
      </c>
      <c r="S353" s="106">
        <f t="shared" si="23"/>
        <v>0</v>
      </c>
    </row>
    <row r="354" spans="17:19" x14ac:dyDescent="0.3">
      <c r="Q354" s="104" t="str">
        <f t="shared" si="21"/>
        <v>December</v>
      </c>
      <c r="R354" s="106">
        <f t="shared" si="22"/>
        <v>0</v>
      </c>
      <c r="S354" s="106">
        <f t="shared" si="23"/>
        <v>0</v>
      </c>
    </row>
    <row r="355" spans="17:19" x14ac:dyDescent="0.3">
      <c r="Q355" s="104" t="str">
        <f t="shared" si="21"/>
        <v>December</v>
      </c>
      <c r="R355" s="106">
        <f t="shared" si="22"/>
        <v>0</v>
      </c>
      <c r="S355" s="106">
        <f t="shared" si="23"/>
        <v>0</v>
      </c>
    </row>
    <row r="356" spans="17:19" x14ac:dyDescent="0.3">
      <c r="Q356" s="104" t="str">
        <f t="shared" si="21"/>
        <v>December</v>
      </c>
      <c r="R356" s="106">
        <f t="shared" si="22"/>
        <v>0</v>
      </c>
      <c r="S356" s="106">
        <f t="shared" si="23"/>
        <v>0</v>
      </c>
    </row>
    <row r="357" spans="17:19" x14ac:dyDescent="0.3">
      <c r="Q357" s="104" t="str">
        <f t="shared" si="21"/>
        <v>December</v>
      </c>
      <c r="R357" s="106">
        <f t="shared" si="22"/>
        <v>0</v>
      </c>
      <c r="S357" s="106">
        <f t="shared" si="23"/>
        <v>0</v>
      </c>
    </row>
    <row r="358" spans="17:19" x14ac:dyDescent="0.3">
      <c r="Q358" s="104" t="str">
        <f t="shared" si="21"/>
        <v>December</v>
      </c>
      <c r="R358" s="106">
        <f t="shared" si="22"/>
        <v>0</v>
      </c>
      <c r="S358" s="106">
        <f t="shared" si="23"/>
        <v>0</v>
      </c>
    </row>
    <row r="359" spans="17:19" x14ac:dyDescent="0.3">
      <c r="Q359" s="104" t="str">
        <f t="shared" si="21"/>
        <v>December</v>
      </c>
      <c r="R359" s="106">
        <f t="shared" si="22"/>
        <v>0</v>
      </c>
      <c r="S359" s="106">
        <f t="shared" si="23"/>
        <v>0</v>
      </c>
    </row>
    <row r="360" spans="17:19" x14ac:dyDescent="0.3">
      <c r="Q360" s="104" t="str">
        <f t="shared" si="21"/>
        <v>December</v>
      </c>
      <c r="R360" s="106">
        <f t="shared" si="22"/>
        <v>0</v>
      </c>
      <c r="S360" s="106">
        <f t="shared" si="23"/>
        <v>0</v>
      </c>
    </row>
    <row r="361" spans="17:19" x14ac:dyDescent="0.3">
      <c r="Q361" s="104" t="str">
        <f t="shared" si="21"/>
        <v>December</v>
      </c>
      <c r="R361" s="106">
        <f t="shared" si="22"/>
        <v>0</v>
      </c>
      <c r="S361" s="106">
        <f t="shared" si="23"/>
        <v>0</v>
      </c>
    </row>
    <row r="362" spans="17:19" x14ac:dyDescent="0.3">
      <c r="Q362" s="104" t="str">
        <f t="shared" si="21"/>
        <v>December</v>
      </c>
      <c r="R362" s="106">
        <f t="shared" si="22"/>
        <v>0</v>
      </c>
      <c r="S362" s="106">
        <f t="shared" si="23"/>
        <v>0</v>
      </c>
    </row>
    <row r="363" spans="17:19" x14ac:dyDescent="0.3">
      <c r="Q363" s="104" t="str">
        <f t="shared" si="21"/>
        <v>December</v>
      </c>
      <c r="R363" s="106">
        <f t="shared" si="22"/>
        <v>0</v>
      </c>
      <c r="S363" s="106">
        <f t="shared" si="23"/>
        <v>0</v>
      </c>
    </row>
    <row r="364" spans="17:19" x14ac:dyDescent="0.3">
      <c r="Q364" s="104" t="str">
        <f t="shared" si="21"/>
        <v>December</v>
      </c>
      <c r="R364" s="106">
        <f t="shared" si="22"/>
        <v>0</v>
      </c>
      <c r="S364" s="106">
        <f t="shared" si="23"/>
        <v>0</v>
      </c>
    </row>
    <row r="365" spans="17:19" x14ac:dyDescent="0.3">
      <c r="Q365" s="104" t="str">
        <f t="shared" si="21"/>
        <v>December</v>
      </c>
      <c r="R365" s="106">
        <f t="shared" si="22"/>
        <v>0</v>
      </c>
      <c r="S365" s="106">
        <f t="shared" si="23"/>
        <v>0</v>
      </c>
    </row>
    <row r="366" spans="17:19" x14ac:dyDescent="0.3">
      <c r="Q366" s="104" t="str">
        <f t="shared" si="21"/>
        <v>December</v>
      </c>
      <c r="R366" s="106">
        <f t="shared" si="22"/>
        <v>0</v>
      </c>
      <c r="S366" s="106">
        <f t="shared" si="23"/>
        <v>0</v>
      </c>
    </row>
    <row r="367" spans="17:19" x14ac:dyDescent="0.3">
      <c r="Q367" s="104" t="str">
        <f t="shared" si="21"/>
        <v>December</v>
      </c>
      <c r="R367" s="106">
        <f t="shared" si="22"/>
        <v>0</v>
      </c>
      <c r="S367" s="106">
        <f t="shared" si="23"/>
        <v>0</v>
      </c>
    </row>
    <row r="368" spans="17:19" x14ac:dyDescent="0.3">
      <c r="Q368" s="104" t="str">
        <f t="shared" si="21"/>
        <v>December</v>
      </c>
      <c r="R368" s="106">
        <f t="shared" si="22"/>
        <v>0</v>
      </c>
      <c r="S368" s="106">
        <f t="shared" si="23"/>
        <v>0</v>
      </c>
    </row>
    <row r="369" spans="17:19" x14ac:dyDescent="0.3">
      <c r="Q369" s="104" t="str">
        <f t="shared" si="21"/>
        <v>December</v>
      </c>
      <c r="R369" s="106">
        <f t="shared" si="22"/>
        <v>0</v>
      </c>
      <c r="S369" s="106">
        <f t="shared" si="23"/>
        <v>0</v>
      </c>
    </row>
    <row r="370" spans="17:19" x14ac:dyDescent="0.3">
      <c r="Q370" s="104" t="str">
        <f t="shared" si="21"/>
        <v>December</v>
      </c>
      <c r="R370" s="106">
        <f t="shared" si="22"/>
        <v>0</v>
      </c>
      <c r="S370" s="106">
        <f t="shared" si="23"/>
        <v>0</v>
      </c>
    </row>
    <row r="371" spans="17:19" x14ac:dyDescent="0.3">
      <c r="Q371" s="104" t="str">
        <f t="shared" si="21"/>
        <v>December</v>
      </c>
      <c r="R371" s="106">
        <f t="shared" si="22"/>
        <v>0</v>
      </c>
      <c r="S371" s="106">
        <f t="shared" si="23"/>
        <v>0</v>
      </c>
    </row>
    <row r="372" spans="17:19" x14ac:dyDescent="0.3">
      <c r="Q372" s="104" t="str">
        <f t="shared" si="21"/>
        <v>December</v>
      </c>
      <c r="R372" s="106">
        <f t="shared" si="22"/>
        <v>0</v>
      </c>
      <c r="S372" s="106">
        <f t="shared" si="23"/>
        <v>0</v>
      </c>
    </row>
    <row r="373" spans="17:19" x14ac:dyDescent="0.3">
      <c r="Q373" s="104" t="str">
        <f t="shared" si="21"/>
        <v>December</v>
      </c>
      <c r="R373" s="106">
        <f t="shared" si="22"/>
        <v>0</v>
      </c>
      <c r="S373" s="106">
        <f t="shared" si="23"/>
        <v>0</v>
      </c>
    </row>
    <row r="374" spans="17:19" x14ac:dyDescent="0.3">
      <c r="Q374" s="104" t="str">
        <f t="shared" si="21"/>
        <v>December</v>
      </c>
      <c r="R374" s="106">
        <f t="shared" si="22"/>
        <v>0</v>
      </c>
      <c r="S374" s="106">
        <f t="shared" si="23"/>
        <v>0</v>
      </c>
    </row>
    <row r="375" spans="17:19" x14ac:dyDescent="0.3">
      <c r="Q375" s="104" t="str">
        <f t="shared" si="21"/>
        <v>December</v>
      </c>
      <c r="R375" s="106">
        <f t="shared" si="22"/>
        <v>0</v>
      </c>
      <c r="S375" s="106">
        <f t="shared" si="23"/>
        <v>0</v>
      </c>
    </row>
    <row r="376" spans="17:19" x14ac:dyDescent="0.3">
      <c r="Q376" s="104" t="str">
        <f t="shared" si="21"/>
        <v>December</v>
      </c>
      <c r="R376" s="106">
        <f t="shared" si="22"/>
        <v>0</v>
      </c>
      <c r="S376" s="106">
        <f t="shared" si="23"/>
        <v>0</v>
      </c>
    </row>
    <row r="377" spans="17:19" x14ac:dyDescent="0.3">
      <c r="Q377" s="104" t="str">
        <f t="shared" si="21"/>
        <v>December</v>
      </c>
      <c r="R377" s="106">
        <f t="shared" si="22"/>
        <v>0</v>
      </c>
      <c r="S377" s="106">
        <f t="shared" si="23"/>
        <v>0</v>
      </c>
    </row>
    <row r="378" spans="17:19" x14ac:dyDescent="0.3">
      <c r="Q378" s="104" t="str">
        <f t="shared" si="21"/>
        <v>December</v>
      </c>
      <c r="R378" s="106">
        <f t="shared" si="22"/>
        <v>0</v>
      </c>
      <c r="S378" s="106">
        <f t="shared" si="23"/>
        <v>0</v>
      </c>
    </row>
    <row r="379" spans="17:19" x14ac:dyDescent="0.3">
      <c r="Q379" s="104" t="str">
        <f t="shared" si="21"/>
        <v>December</v>
      </c>
      <c r="R379" s="106">
        <f t="shared" si="22"/>
        <v>0</v>
      </c>
      <c r="S379" s="106">
        <f t="shared" si="23"/>
        <v>0</v>
      </c>
    </row>
    <row r="380" spans="17:19" x14ac:dyDescent="0.3">
      <c r="Q380" s="104" t="str">
        <f t="shared" si="21"/>
        <v>December</v>
      </c>
      <c r="R380" s="106">
        <f t="shared" si="22"/>
        <v>0</v>
      </c>
      <c r="S380" s="106">
        <f t="shared" si="23"/>
        <v>0</v>
      </c>
    </row>
    <row r="381" spans="17:19" x14ac:dyDescent="0.3">
      <c r="Q381" s="104" t="str">
        <f t="shared" si="21"/>
        <v>December</v>
      </c>
      <c r="R381" s="106">
        <f t="shared" si="22"/>
        <v>0</v>
      </c>
      <c r="S381" s="106">
        <f t="shared" si="23"/>
        <v>0</v>
      </c>
    </row>
    <row r="382" spans="17:19" x14ac:dyDescent="0.3">
      <c r="Q382" s="104" t="str">
        <f t="shared" si="21"/>
        <v>December</v>
      </c>
      <c r="R382" s="106">
        <f t="shared" si="22"/>
        <v>0</v>
      </c>
      <c r="S382" s="106">
        <f t="shared" si="23"/>
        <v>0</v>
      </c>
    </row>
    <row r="383" spans="17:19" x14ac:dyDescent="0.3">
      <c r="Q383" s="104" t="str">
        <f t="shared" si="21"/>
        <v>December</v>
      </c>
      <c r="R383" s="106">
        <f t="shared" si="22"/>
        <v>0</v>
      </c>
      <c r="S383" s="106">
        <f t="shared" si="23"/>
        <v>0</v>
      </c>
    </row>
    <row r="384" spans="17:19" x14ac:dyDescent="0.3">
      <c r="Q384" s="104" t="str">
        <f t="shared" si="21"/>
        <v>December</v>
      </c>
      <c r="R384" s="106">
        <f t="shared" si="22"/>
        <v>0</v>
      </c>
      <c r="S384" s="106">
        <f t="shared" si="23"/>
        <v>0</v>
      </c>
    </row>
    <row r="385" spans="17:19" x14ac:dyDescent="0.3">
      <c r="Q385" s="104" t="str">
        <f t="shared" si="21"/>
        <v>December</v>
      </c>
      <c r="R385" s="106">
        <f t="shared" si="22"/>
        <v>0</v>
      </c>
      <c r="S385" s="106">
        <f t="shared" si="23"/>
        <v>0</v>
      </c>
    </row>
    <row r="386" spans="17:19" x14ac:dyDescent="0.3">
      <c r="Q386" s="104" t="str">
        <f t="shared" si="21"/>
        <v>December</v>
      </c>
      <c r="R386" s="106">
        <f t="shared" si="22"/>
        <v>0</v>
      </c>
      <c r="S386" s="106">
        <f t="shared" si="23"/>
        <v>0</v>
      </c>
    </row>
    <row r="387" spans="17:19" x14ac:dyDescent="0.3">
      <c r="Q387" s="104" t="str">
        <f t="shared" si="21"/>
        <v>December</v>
      </c>
      <c r="R387" s="106">
        <f t="shared" si="22"/>
        <v>0</v>
      </c>
      <c r="S387" s="106">
        <f t="shared" si="23"/>
        <v>0</v>
      </c>
    </row>
    <row r="388" spans="17:19" x14ac:dyDescent="0.3">
      <c r="Q388" s="104" t="str">
        <f t="shared" ref="Q388:Q451" si="24">IF($A388&lt;&gt;"",$A388,Q387)</f>
        <v>December</v>
      </c>
      <c r="R388" s="106">
        <f t="shared" ref="R388:R451" si="25">IF($E388&gt;0,$G388+2*$H388+$I388+2*$J388+$K388+2*$L388,0)</f>
        <v>0</v>
      </c>
      <c r="S388" s="106">
        <f t="shared" ref="S388:S451" si="26">IF($E388&gt;0,SUM($G388:$L388),0)</f>
        <v>0</v>
      </c>
    </row>
    <row r="389" spans="17:19" x14ac:dyDescent="0.3">
      <c r="Q389" s="104" t="str">
        <f t="shared" si="24"/>
        <v>December</v>
      </c>
      <c r="R389" s="106">
        <f t="shared" si="25"/>
        <v>0</v>
      </c>
      <c r="S389" s="106">
        <f t="shared" si="26"/>
        <v>0</v>
      </c>
    </row>
    <row r="390" spans="17:19" x14ac:dyDescent="0.3">
      <c r="Q390" s="104" t="str">
        <f t="shared" si="24"/>
        <v>December</v>
      </c>
      <c r="R390" s="106">
        <f t="shared" si="25"/>
        <v>0</v>
      </c>
      <c r="S390" s="106">
        <f t="shared" si="26"/>
        <v>0</v>
      </c>
    </row>
    <row r="391" spans="17:19" x14ac:dyDescent="0.3">
      <c r="Q391" s="104" t="str">
        <f t="shared" si="24"/>
        <v>December</v>
      </c>
      <c r="R391" s="106">
        <f t="shared" si="25"/>
        <v>0</v>
      </c>
      <c r="S391" s="106">
        <f t="shared" si="26"/>
        <v>0</v>
      </c>
    </row>
    <row r="392" spans="17:19" x14ac:dyDescent="0.3">
      <c r="Q392" s="104" t="str">
        <f t="shared" si="24"/>
        <v>December</v>
      </c>
      <c r="R392" s="106">
        <f t="shared" si="25"/>
        <v>0</v>
      </c>
      <c r="S392" s="106">
        <f t="shared" si="26"/>
        <v>0</v>
      </c>
    </row>
    <row r="393" spans="17:19" x14ac:dyDescent="0.3">
      <c r="Q393" s="104" t="str">
        <f t="shared" si="24"/>
        <v>December</v>
      </c>
      <c r="R393" s="106">
        <f t="shared" si="25"/>
        <v>0</v>
      </c>
      <c r="S393" s="106">
        <f t="shared" si="26"/>
        <v>0</v>
      </c>
    </row>
    <row r="394" spans="17:19" x14ac:dyDescent="0.3">
      <c r="Q394" s="104" t="str">
        <f t="shared" si="24"/>
        <v>December</v>
      </c>
      <c r="R394" s="106">
        <f t="shared" si="25"/>
        <v>0</v>
      </c>
      <c r="S394" s="106">
        <f t="shared" si="26"/>
        <v>0</v>
      </c>
    </row>
    <row r="395" spans="17:19" x14ac:dyDescent="0.3">
      <c r="Q395" s="104" t="str">
        <f t="shared" si="24"/>
        <v>December</v>
      </c>
      <c r="R395" s="106">
        <f t="shared" si="25"/>
        <v>0</v>
      </c>
      <c r="S395" s="106">
        <f t="shared" si="26"/>
        <v>0</v>
      </c>
    </row>
    <row r="396" spans="17:19" x14ac:dyDescent="0.3">
      <c r="Q396" s="104" t="str">
        <f t="shared" si="24"/>
        <v>December</v>
      </c>
      <c r="R396" s="106">
        <f t="shared" si="25"/>
        <v>0</v>
      </c>
      <c r="S396" s="106">
        <f t="shared" si="26"/>
        <v>0</v>
      </c>
    </row>
    <row r="397" spans="17:19" x14ac:dyDescent="0.3">
      <c r="Q397" s="104" t="str">
        <f t="shared" si="24"/>
        <v>December</v>
      </c>
      <c r="R397" s="106">
        <f t="shared" si="25"/>
        <v>0</v>
      </c>
      <c r="S397" s="106">
        <f t="shared" si="26"/>
        <v>0</v>
      </c>
    </row>
    <row r="398" spans="17:19" x14ac:dyDescent="0.3">
      <c r="Q398" s="104" t="str">
        <f t="shared" si="24"/>
        <v>December</v>
      </c>
      <c r="R398" s="106">
        <f t="shared" si="25"/>
        <v>0</v>
      </c>
      <c r="S398" s="106">
        <f t="shared" si="26"/>
        <v>0</v>
      </c>
    </row>
    <row r="399" spans="17:19" x14ac:dyDescent="0.3">
      <c r="Q399" s="104" t="str">
        <f t="shared" si="24"/>
        <v>December</v>
      </c>
      <c r="R399" s="106">
        <f t="shared" si="25"/>
        <v>0</v>
      </c>
      <c r="S399" s="106">
        <f t="shared" si="26"/>
        <v>0</v>
      </c>
    </row>
    <row r="400" spans="17:19" x14ac:dyDescent="0.3">
      <c r="Q400" s="104" t="str">
        <f t="shared" si="24"/>
        <v>December</v>
      </c>
      <c r="R400" s="106">
        <f t="shared" si="25"/>
        <v>0</v>
      </c>
      <c r="S400" s="106">
        <f t="shared" si="26"/>
        <v>0</v>
      </c>
    </row>
    <row r="401" spans="17:19" x14ac:dyDescent="0.3">
      <c r="Q401" s="104" t="str">
        <f t="shared" si="24"/>
        <v>December</v>
      </c>
      <c r="R401" s="106">
        <f t="shared" si="25"/>
        <v>0</v>
      </c>
      <c r="S401" s="106">
        <f t="shared" si="26"/>
        <v>0</v>
      </c>
    </row>
    <row r="402" spans="17:19" x14ac:dyDescent="0.3">
      <c r="Q402" s="104" t="str">
        <f t="shared" si="24"/>
        <v>December</v>
      </c>
      <c r="R402" s="106">
        <f t="shared" si="25"/>
        <v>0</v>
      </c>
      <c r="S402" s="106">
        <f t="shared" si="26"/>
        <v>0</v>
      </c>
    </row>
    <row r="403" spans="17:19" x14ac:dyDescent="0.3">
      <c r="Q403" s="104" t="str">
        <f t="shared" si="24"/>
        <v>December</v>
      </c>
      <c r="R403" s="106">
        <f t="shared" si="25"/>
        <v>0</v>
      </c>
      <c r="S403" s="106">
        <f t="shared" si="26"/>
        <v>0</v>
      </c>
    </row>
    <row r="404" spans="17:19" x14ac:dyDescent="0.3">
      <c r="Q404" s="104" t="str">
        <f t="shared" si="24"/>
        <v>December</v>
      </c>
      <c r="R404" s="106">
        <f t="shared" si="25"/>
        <v>0</v>
      </c>
      <c r="S404" s="106">
        <f t="shared" si="26"/>
        <v>0</v>
      </c>
    </row>
    <row r="405" spans="17:19" x14ac:dyDescent="0.3">
      <c r="Q405" s="104" t="str">
        <f t="shared" si="24"/>
        <v>December</v>
      </c>
      <c r="R405" s="106">
        <f t="shared" si="25"/>
        <v>0</v>
      </c>
      <c r="S405" s="106">
        <f t="shared" si="26"/>
        <v>0</v>
      </c>
    </row>
    <row r="406" spans="17:19" x14ac:dyDescent="0.3">
      <c r="Q406" s="104" t="str">
        <f t="shared" si="24"/>
        <v>December</v>
      </c>
      <c r="R406" s="106">
        <f t="shared" si="25"/>
        <v>0</v>
      </c>
      <c r="S406" s="106">
        <f t="shared" si="26"/>
        <v>0</v>
      </c>
    </row>
    <row r="407" spans="17:19" x14ac:dyDescent="0.3">
      <c r="Q407" s="104" t="str">
        <f t="shared" si="24"/>
        <v>December</v>
      </c>
      <c r="R407" s="106">
        <f t="shared" si="25"/>
        <v>0</v>
      </c>
      <c r="S407" s="106">
        <f t="shared" si="26"/>
        <v>0</v>
      </c>
    </row>
    <row r="408" spans="17:19" x14ac:dyDescent="0.3">
      <c r="Q408" s="104" t="str">
        <f t="shared" si="24"/>
        <v>December</v>
      </c>
      <c r="R408" s="106">
        <f t="shared" si="25"/>
        <v>0</v>
      </c>
      <c r="S408" s="106">
        <f t="shared" si="26"/>
        <v>0</v>
      </c>
    </row>
    <row r="409" spans="17:19" x14ac:dyDescent="0.3">
      <c r="Q409" s="104" t="str">
        <f t="shared" si="24"/>
        <v>December</v>
      </c>
      <c r="R409" s="106">
        <f t="shared" si="25"/>
        <v>0</v>
      </c>
      <c r="S409" s="106">
        <f t="shared" si="26"/>
        <v>0</v>
      </c>
    </row>
    <row r="410" spans="17:19" x14ac:dyDescent="0.3">
      <c r="Q410" s="104" t="str">
        <f t="shared" si="24"/>
        <v>December</v>
      </c>
      <c r="R410" s="106">
        <f t="shared" si="25"/>
        <v>0</v>
      </c>
      <c r="S410" s="106">
        <f t="shared" si="26"/>
        <v>0</v>
      </c>
    </row>
    <row r="411" spans="17:19" x14ac:dyDescent="0.3">
      <c r="Q411" s="104" t="str">
        <f t="shared" si="24"/>
        <v>December</v>
      </c>
      <c r="R411" s="106">
        <f t="shared" si="25"/>
        <v>0</v>
      </c>
      <c r="S411" s="106">
        <f t="shared" si="26"/>
        <v>0</v>
      </c>
    </row>
    <row r="412" spans="17:19" x14ac:dyDescent="0.3">
      <c r="Q412" s="104" t="str">
        <f t="shared" si="24"/>
        <v>December</v>
      </c>
      <c r="R412" s="106">
        <f t="shared" si="25"/>
        <v>0</v>
      </c>
      <c r="S412" s="106">
        <f t="shared" si="26"/>
        <v>0</v>
      </c>
    </row>
    <row r="413" spans="17:19" x14ac:dyDescent="0.3">
      <c r="Q413" s="104" t="str">
        <f t="shared" si="24"/>
        <v>December</v>
      </c>
      <c r="R413" s="106">
        <f t="shared" si="25"/>
        <v>0</v>
      </c>
      <c r="S413" s="106">
        <f t="shared" si="26"/>
        <v>0</v>
      </c>
    </row>
    <row r="414" spans="17:19" x14ac:dyDescent="0.3">
      <c r="Q414" s="104" t="str">
        <f t="shared" si="24"/>
        <v>December</v>
      </c>
      <c r="R414" s="106">
        <f t="shared" si="25"/>
        <v>0</v>
      </c>
      <c r="S414" s="106">
        <f t="shared" si="26"/>
        <v>0</v>
      </c>
    </row>
    <row r="415" spans="17:19" x14ac:dyDescent="0.3">
      <c r="Q415" s="104" t="str">
        <f t="shared" si="24"/>
        <v>December</v>
      </c>
      <c r="R415" s="106">
        <f t="shared" si="25"/>
        <v>0</v>
      </c>
      <c r="S415" s="106">
        <f t="shared" si="26"/>
        <v>0</v>
      </c>
    </row>
    <row r="416" spans="17:19" x14ac:dyDescent="0.3">
      <c r="Q416" s="104" t="str">
        <f t="shared" si="24"/>
        <v>December</v>
      </c>
      <c r="R416" s="106">
        <f t="shared" si="25"/>
        <v>0</v>
      </c>
      <c r="S416" s="106">
        <f t="shared" si="26"/>
        <v>0</v>
      </c>
    </row>
    <row r="417" spans="17:19" x14ac:dyDescent="0.3">
      <c r="Q417" s="104" t="str">
        <f t="shared" si="24"/>
        <v>December</v>
      </c>
      <c r="R417" s="106">
        <f t="shared" si="25"/>
        <v>0</v>
      </c>
      <c r="S417" s="106">
        <f t="shared" si="26"/>
        <v>0</v>
      </c>
    </row>
    <row r="418" spans="17:19" x14ac:dyDescent="0.3">
      <c r="Q418" s="104" t="str">
        <f t="shared" si="24"/>
        <v>December</v>
      </c>
      <c r="R418" s="106">
        <f t="shared" si="25"/>
        <v>0</v>
      </c>
      <c r="S418" s="106">
        <f t="shared" si="26"/>
        <v>0</v>
      </c>
    </row>
    <row r="419" spans="17:19" x14ac:dyDescent="0.3">
      <c r="Q419" s="104" t="str">
        <f t="shared" si="24"/>
        <v>December</v>
      </c>
      <c r="R419" s="106">
        <f t="shared" si="25"/>
        <v>0</v>
      </c>
      <c r="S419" s="106">
        <f t="shared" si="26"/>
        <v>0</v>
      </c>
    </row>
    <row r="420" spans="17:19" x14ac:dyDescent="0.3">
      <c r="Q420" s="104" t="str">
        <f t="shared" si="24"/>
        <v>December</v>
      </c>
      <c r="R420" s="106">
        <f t="shared" si="25"/>
        <v>0</v>
      </c>
      <c r="S420" s="106">
        <f t="shared" si="26"/>
        <v>0</v>
      </c>
    </row>
    <row r="421" spans="17:19" x14ac:dyDescent="0.3">
      <c r="Q421" s="104" t="str">
        <f t="shared" si="24"/>
        <v>December</v>
      </c>
      <c r="R421" s="106">
        <f t="shared" si="25"/>
        <v>0</v>
      </c>
      <c r="S421" s="106">
        <f t="shared" si="26"/>
        <v>0</v>
      </c>
    </row>
    <row r="422" spans="17:19" x14ac:dyDescent="0.3">
      <c r="Q422" s="104" t="str">
        <f t="shared" si="24"/>
        <v>December</v>
      </c>
      <c r="R422" s="106">
        <f t="shared" si="25"/>
        <v>0</v>
      </c>
      <c r="S422" s="106">
        <f t="shared" si="26"/>
        <v>0</v>
      </c>
    </row>
    <row r="423" spans="17:19" x14ac:dyDescent="0.3">
      <c r="Q423" s="104" t="str">
        <f t="shared" si="24"/>
        <v>December</v>
      </c>
      <c r="R423" s="106">
        <f t="shared" si="25"/>
        <v>0</v>
      </c>
      <c r="S423" s="106">
        <f t="shared" si="26"/>
        <v>0</v>
      </c>
    </row>
    <row r="424" spans="17:19" x14ac:dyDescent="0.3">
      <c r="Q424" s="104" t="str">
        <f t="shared" si="24"/>
        <v>December</v>
      </c>
      <c r="R424" s="106">
        <f t="shared" si="25"/>
        <v>0</v>
      </c>
      <c r="S424" s="106">
        <f t="shared" si="26"/>
        <v>0</v>
      </c>
    </row>
    <row r="425" spans="17:19" x14ac:dyDescent="0.3">
      <c r="Q425" s="104" t="str">
        <f t="shared" si="24"/>
        <v>December</v>
      </c>
      <c r="R425" s="106">
        <f t="shared" si="25"/>
        <v>0</v>
      </c>
      <c r="S425" s="106">
        <f t="shared" si="26"/>
        <v>0</v>
      </c>
    </row>
    <row r="426" spans="17:19" x14ac:dyDescent="0.3">
      <c r="Q426" s="104" t="str">
        <f t="shared" si="24"/>
        <v>December</v>
      </c>
      <c r="R426" s="106">
        <f t="shared" si="25"/>
        <v>0</v>
      </c>
      <c r="S426" s="106">
        <f t="shared" si="26"/>
        <v>0</v>
      </c>
    </row>
    <row r="427" spans="17:19" x14ac:dyDescent="0.3">
      <c r="Q427" s="104" t="str">
        <f t="shared" si="24"/>
        <v>December</v>
      </c>
      <c r="R427" s="106">
        <f t="shared" si="25"/>
        <v>0</v>
      </c>
      <c r="S427" s="106">
        <f t="shared" si="26"/>
        <v>0</v>
      </c>
    </row>
    <row r="428" spans="17:19" x14ac:dyDescent="0.3">
      <c r="Q428" s="104" t="str">
        <f t="shared" si="24"/>
        <v>December</v>
      </c>
      <c r="R428" s="106">
        <f t="shared" si="25"/>
        <v>0</v>
      </c>
      <c r="S428" s="106">
        <f t="shared" si="26"/>
        <v>0</v>
      </c>
    </row>
    <row r="429" spans="17:19" x14ac:dyDescent="0.3">
      <c r="Q429" s="104" t="str">
        <f t="shared" si="24"/>
        <v>December</v>
      </c>
      <c r="R429" s="106">
        <f t="shared" si="25"/>
        <v>0</v>
      </c>
      <c r="S429" s="106">
        <f t="shared" si="26"/>
        <v>0</v>
      </c>
    </row>
    <row r="430" spans="17:19" x14ac:dyDescent="0.3">
      <c r="Q430" s="104" t="str">
        <f t="shared" si="24"/>
        <v>December</v>
      </c>
      <c r="R430" s="106">
        <f t="shared" si="25"/>
        <v>0</v>
      </c>
      <c r="S430" s="106">
        <f t="shared" si="26"/>
        <v>0</v>
      </c>
    </row>
    <row r="431" spans="17:19" x14ac:dyDescent="0.3">
      <c r="Q431" s="104" t="str">
        <f t="shared" si="24"/>
        <v>December</v>
      </c>
      <c r="R431" s="106">
        <f t="shared" si="25"/>
        <v>0</v>
      </c>
      <c r="S431" s="106">
        <f t="shared" si="26"/>
        <v>0</v>
      </c>
    </row>
    <row r="432" spans="17:19" x14ac:dyDescent="0.3">
      <c r="Q432" s="104" t="str">
        <f t="shared" si="24"/>
        <v>December</v>
      </c>
      <c r="R432" s="106">
        <f t="shared" si="25"/>
        <v>0</v>
      </c>
      <c r="S432" s="106">
        <f t="shared" si="26"/>
        <v>0</v>
      </c>
    </row>
    <row r="433" spans="17:19" x14ac:dyDescent="0.3">
      <c r="Q433" s="104" t="str">
        <f t="shared" si="24"/>
        <v>December</v>
      </c>
      <c r="R433" s="106">
        <f t="shared" si="25"/>
        <v>0</v>
      </c>
      <c r="S433" s="106">
        <f t="shared" si="26"/>
        <v>0</v>
      </c>
    </row>
    <row r="434" spans="17:19" x14ac:dyDescent="0.3">
      <c r="Q434" s="104" t="str">
        <f t="shared" si="24"/>
        <v>December</v>
      </c>
      <c r="R434" s="106">
        <f t="shared" si="25"/>
        <v>0</v>
      </c>
      <c r="S434" s="106">
        <f t="shared" si="26"/>
        <v>0</v>
      </c>
    </row>
    <row r="435" spans="17:19" x14ac:dyDescent="0.3">
      <c r="Q435" s="104" t="str">
        <f t="shared" si="24"/>
        <v>December</v>
      </c>
      <c r="R435" s="106">
        <f t="shared" si="25"/>
        <v>0</v>
      </c>
      <c r="S435" s="106">
        <f t="shared" si="26"/>
        <v>0</v>
      </c>
    </row>
    <row r="436" spans="17:19" x14ac:dyDescent="0.3">
      <c r="Q436" s="104" t="str">
        <f t="shared" si="24"/>
        <v>December</v>
      </c>
      <c r="R436" s="106">
        <f t="shared" si="25"/>
        <v>0</v>
      </c>
      <c r="S436" s="106">
        <f t="shared" si="26"/>
        <v>0</v>
      </c>
    </row>
    <row r="437" spans="17:19" x14ac:dyDescent="0.3">
      <c r="Q437" s="104" t="str">
        <f t="shared" si="24"/>
        <v>December</v>
      </c>
      <c r="R437" s="106">
        <f t="shared" si="25"/>
        <v>0</v>
      </c>
      <c r="S437" s="106">
        <f t="shared" si="26"/>
        <v>0</v>
      </c>
    </row>
    <row r="438" spans="17:19" x14ac:dyDescent="0.3">
      <c r="Q438" s="104" t="str">
        <f t="shared" si="24"/>
        <v>December</v>
      </c>
      <c r="R438" s="106">
        <f t="shared" si="25"/>
        <v>0</v>
      </c>
      <c r="S438" s="106">
        <f t="shared" si="26"/>
        <v>0</v>
      </c>
    </row>
    <row r="439" spans="17:19" x14ac:dyDescent="0.3">
      <c r="Q439" s="104" t="str">
        <f t="shared" si="24"/>
        <v>December</v>
      </c>
      <c r="R439" s="106">
        <f t="shared" si="25"/>
        <v>0</v>
      </c>
      <c r="S439" s="106">
        <f t="shared" si="26"/>
        <v>0</v>
      </c>
    </row>
    <row r="440" spans="17:19" x14ac:dyDescent="0.3">
      <c r="Q440" s="104" t="str">
        <f t="shared" si="24"/>
        <v>December</v>
      </c>
      <c r="R440" s="106">
        <f t="shared" si="25"/>
        <v>0</v>
      </c>
      <c r="S440" s="106">
        <f t="shared" si="26"/>
        <v>0</v>
      </c>
    </row>
    <row r="441" spans="17:19" x14ac:dyDescent="0.3">
      <c r="Q441" s="104" t="str">
        <f t="shared" si="24"/>
        <v>December</v>
      </c>
      <c r="R441" s="106">
        <f t="shared" si="25"/>
        <v>0</v>
      </c>
      <c r="S441" s="106">
        <f t="shared" si="26"/>
        <v>0</v>
      </c>
    </row>
    <row r="442" spans="17:19" x14ac:dyDescent="0.3">
      <c r="Q442" s="104" t="str">
        <f t="shared" si="24"/>
        <v>December</v>
      </c>
      <c r="R442" s="106">
        <f t="shared" si="25"/>
        <v>0</v>
      </c>
      <c r="S442" s="106">
        <f t="shared" si="26"/>
        <v>0</v>
      </c>
    </row>
    <row r="443" spans="17:19" x14ac:dyDescent="0.3">
      <c r="Q443" s="104" t="str">
        <f t="shared" si="24"/>
        <v>December</v>
      </c>
      <c r="R443" s="106">
        <f t="shared" si="25"/>
        <v>0</v>
      </c>
      <c r="S443" s="106">
        <f t="shared" si="26"/>
        <v>0</v>
      </c>
    </row>
    <row r="444" spans="17:19" x14ac:dyDescent="0.3">
      <c r="Q444" s="104" t="str">
        <f t="shared" si="24"/>
        <v>December</v>
      </c>
      <c r="R444" s="106">
        <f t="shared" si="25"/>
        <v>0</v>
      </c>
      <c r="S444" s="106">
        <f t="shared" si="26"/>
        <v>0</v>
      </c>
    </row>
    <row r="445" spans="17:19" x14ac:dyDescent="0.3">
      <c r="Q445" s="104" t="str">
        <f t="shared" si="24"/>
        <v>December</v>
      </c>
      <c r="R445" s="106">
        <f t="shared" si="25"/>
        <v>0</v>
      </c>
      <c r="S445" s="106">
        <f t="shared" si="26"/>
        <v>0</v>
      </c>
    </row>
    <row r="446" spans="17:19" x14ac:dyDescent="0.3">
      <c r="Q446" s="104" t="str">
        <f t="shared" si="24"/>
        <v>December</v>
      </c>
      <c r="R446" s="106">
        <f t="shared" si="25"/>
        <v>0</v>
      </c>
      <c r="S446" s="106">
        <f t="shared" si="26"/>
        <v>0</v>
      </c>
    </row>
    <row r="447" spans="17:19" x14ac:dyDescent="0.3">
      <c r="Q447" s="104" t="str">
        <f t="shared" si="24"/>
        <v>December</v>
      </c>
      <c r="R447" s="106">
        <f t="shared" si="25"/>
        <v>0</v>
      </c>
      <c r="S447" s="106">
        <f t="shared" si="26"/>
        <v>0</v>
      </c>
    </row>
    <row r="448" spans="17:19" x14ac:dyDescent="0.3">
      <c r="Q448" s="104" t="str">
        <f t="shared" si="24"/>
        <v>December</v>
      </c>
      <c r="R448" s="106">
        <f t="shared" si="25"/>
        <v>0</v>
      </c>
      <c r="S448" s="106">
        <f t="shared" si="26"/>
        <v>0</v>
      </c>
    </row>
    <row r="449" spans="17:19" x14ac:dyDescent="0.3">
      <c r="Q449" s="104" t="str">
        <f t="shared" si="24"/>
        <v>December</v>
      </c>
      <c r="R449" s="106">
        <f t="shared" si="25"/>
        <v>0</v>
      </c>
      <c r="S449" s="106">
        <f t="shared" si="26"/>
        <v>0</v>
      </c>
    </row>
    <row r="450" spans="17:19" x14ac:dyDescent="0.3">
      <c r="Q450" s="104" t="str">
        <f t="shared" si="24"/>
        <v>December</v>
      </c>
      <c r="R450" s="106">
        <f t="shared" si="25"/>
        <v>0</v>
      </c>
      <c r="S450" s="106">
        <f t="shared" si="26"/>
        <v>0</v>
      </c>
    </row>
    <row r="451" spans="17:19" x14ac:dyDescent="0.3">
      <c r="Q451" s="104" t="str">
        <f t="shared" si="24"/>
        <v>December</v>
      </c>
      <c r="R451" s="106">
        <f t="shared" si="25"/>
        <v>0</v>
      </c>
      <c r="S451" s="106">
        <f t="shared" si="26"/>
        <v>0</v>
      </c>
    </row>
    <row r="452" spans="17:19" x14ac:dyDescent="0.3">
      <c r="Q452" s="104" t="str">
        <f t="shared" ref="Q452:Q500" si="27">IF($A452&lt;&gt;"",$A452,Q451)</f>
        <v>December</v>
      </c>
      <c r="R452" s="106">
        <f t="shared" ref="R452:R500" si="28">IF($E452&gt;0,$G452+2*$H452+$I452+2*$J452+$K452+2*$L452,0)</f>
        <v>0</v>
      </c>
      <c r="S452" s="106">
        <f t="shared" ref="S452:S500" si="29">IF($E452&gt;0,SUM($G452:$L452),0)</f>
        <v>0</v>
      </c>
    </row>
    <row r="453" spans="17:19" x14ac:dyDescent="0.3">
      <c r="Q453" s="104" t="str">
        <f t="shared" si="27"/>
        <v>December</v>
      </c>
      <c r="R453" s="106">
        <f t="shared" si="28"/>
        <v>0</v>
      </c>
      <c r="S453" s="106">
        <f t="shared" si="29"/>
        <v>0</v>
      </c>
    </row>
    <row r="454" spans="17:19" x14ac:dyDescent="0.3">
      <c r="Q454" s="104" t="str">
        <f t="shared" si="27"/>
        <v>December</v>
      </c>
      <c r="R454" s="106">
        <f t="shared" si="28"/>
        <v>0</v>
      </c>
      <c r="S454" s="106">
        <f t="shared" si="29"/>
        <v>0</v>
      </c>
    </row>
    <row r="455" spans="17:19" x14ac:dyDescent="0.3">
      <c r="Q455" s="104" t="str">
        <f t="shared" si="27"/>
        <v>December</v>
      </c>
      <c r="R455" s="106">
        <f t="shared" si="28"/>
        <v>0</v>
      </c>
      <c r="S455" s="106">
        <f t="shared" si="29"/>
        <v>0</v>
      </c>
    </row>
    <row r="456" spans="17:19" x14ac:dyDescent="0.3">
      <c r="Q456" s="104" t="str">
        <f t="shared" si="27"/>
        <v>December</v>
      </c>
      <c r="R456" s="106">
        <f t="shared" si="28"/>
        <v>0</v>
      </c>
      <c r="S456" s="106">
        <f t="shared" si="29"/>
        <v>0</v>
      </c>
    </row>
    <row r="457" spans="17:19" x14ac:dyDescent="0.3">
      <c r="Q457" s="104" t="str">
        <f t="shared" si="27"/>
        <v>December</v>
      </c>
      <c r="R457" s="106">
        <f t="shared" si="28"/>
        <v>0</v>
      </c>
      <c r="S457" s="106">
        <f t="shared" si="29"/>
        <v>0</v>
      </c>
    </row>
    <row r="458" spans="17:19" x14ac:dyDescent="0.3">
      <c r="Q458" s="104" t="str">
        <f t="shared" si="27"/>
        <v>December</v>
      </c>
      <c r="R458" s="106">
        <f t="shared" si="28"/>
        <v>0</v>
      </c>
      <c r="S458" s="106">
        <f t="shared" si="29"/>
        <v>0</v>
      </c>
    </row>
    <row r="459" spans="17:19" x14ac:dyDescent="0.3">
      <c r="Q459" s="104" t="str">
        <f t="shared" si="27"/>
        <v>December</v>
      </c>
      <c r="R459" s="106">
        <f t="shared" si="28"/>
        <v>0</v>
      </c>
      <c r="S459" s="106">
        <f t="shared" si="29"/>
        <v>0</v>
      </c>
    </row>
    <row r="460" spans="17:19" x14ac:dyDescent="0.3">
      <c r="Q460" s="104" t="str">
        <f t="shared" si="27"/>
        <v>December</v>
      </c>
      <c r="R460" s="106">
        <f t="shared" si="28"/>
        <v>0</v>
      </c>
      <c r="S460" s="106">
        <f t="shared" si="29"/>
        <v>0</v>
      </c>
    </row>
    <row r="461" spans="17:19" x14ac:dyDescent="0.3">
      <c r="Q461" s="104" t="str">
        <f t="shared" si="27"/>
        <v>December</v>
      </c>
      <c r="R461" s="106">
        <f t="shared" si="28"/>
        <v>0</v>
      </c>
      <c r="S461" s="106">
        <f t="shared" si="29"/>
        <v>0</v>
      </c>
    </row>
    <row r="462" spans="17:19" x14ac:dyDescent="0.3">
      <c r="Q462" s="104" t="str">
        <f t="shared" si="27"/>
        <v>December</v>
      </c>
      <c r="R462" s="106">
        <f t="shared" si="28"/>
        <v>0</v>
      </c>
      <c r="S462" s="106">
        <f t="shared" si="29"/>
        <v>0</v>
      </c>
    </row>
    <row r="463" spans="17:19" x14ac:dyDescent="0.3">
      <c r="Q463" s="104" t="str">
        <f t="shared" si="27"/>
        <v>December</v>
      </c>
      <c r="R463" s="106">
        <f t="shared" si="28"/>
        <v>0</v>
      </c>
      <c r="S463" s="106">
        <f t="shared" si="29"/>
        <v>0</v>
      </c>
    </row>
    <row r="464" spans="17:19" x14ac:dyDescent="0.3">
      <c r="Q464" s="104" t="str">
        <f t="shared" si="27"/>
        <v>December</v>
      </c>
      <c r="R464" s="106">
        <f t="shared" si="28"/>
        <v>0</v>
      </c>
      <c r="S464" s="106">
        <f t="shared" si="29"/>
        <v>0</v>
      </c>
    </row>
    <row r="465" spans="17:19" x14ac:dyDescent="0.3">
      <c r="Q465" s="104" t="str">
        <f t="shared" si="27"/>
        <v>December</v>
      </c>
      <c r="R465" s="106">
        <f t="shared" si="28"/>
        <v>0</v>
      </c>
      <c r="S465" s="106">
        <f t="shared" si="29"/>
        <v>0</v>
      </c>
    </row>
    <row r="466" spans="17:19" x14ac:dyDescent="0.3">
      <c r="Q466" s="104" t="str">
        <f t="shared" si="27"/>
        <v>December</v>
      </c>
      <c r="R466" s="106">
        <f t="shared" si="28"/>
        <v>0</v>
      </c>
      <c r="S466" s="106">
        <f t="shared" si="29"/>
        <v>0</v>
      </c>
    </row>
    <row r="467" spans="17:19" x14ac:dyDescent="0.3">
      <c r="Q467" s="104" t="str">
        <f t="shared" si="27"/>
        <v>December</v>
      </c>
      <c r="R467" s="106">
        <f t="shared" si="28"/>
        <v>0</v>
      </c>
      <c r="S467" s="106">
        <f t="shared" si="29"/>
        <v>0</v>
      </c>
    </row>
    <row r="468" spans="17:19" x14ac:dyDescent="0.3">
      <c r="Q468" s="104" t="str">
        <f t="shared" si="27"/>
        <v>December</v>
      </c>
      <c r="R468" s="106">
        <f t="shared" si="28"/>
        <v>0</v>
      </c>
      <c r="S468" s="106">
        <f t="shared" si="29"/>
        <v>0</v>
      </c>
    </row>
    <row r="469" spans="17:19" x14ac:dyDescent="0.3">
      <c r="Q469" s="104" t="str">
        <f t="shared" si="27"/>
        <v>December</v>
      </c>
      <c r="R469" s="106">
        <f t="shared" si="28"/>
        <v>0</v>
      </c>
      <c r="S469" s="106">
        <f t="shared" si="29"/>
        <v>0</v>
      </c>
    </row>
    <row r="470" spans="17:19" x14ac:dyDescent="0.3">
      <c r="Q470" s="104" t="str">
        <f t="shared" si="27"/>
        <v>December</v>
      </c>
      <c r="R470" s="106">
        <f t="shared" si="28"/>
        <v>0</v>
      </c>
      <c r="S470" s="106">
        <f t="shared" si="29"/>
        <v>0</v>
      </c>
    </row>
    <row r="471" spans="17:19" x14ac:dyDescent="0.3">
      <c r="Q471" s="104" t="str">
        <f t="shared" si="27"/>
        <v>December</v>
      </c>
      <c r="R471" s="106">
        <f t="shared" si="28"/>
        <v>0</v>
      </c>
      <c r="S471" s="106">
        <f t="shared" si="29"/>
        <v>0</v>
      </c>
    </row>
    <row r="472" spans="17:19" x14ac:dyDescent="0.3">
      <c r="Q472" s="104" t="str">
        <f t="shared" si="27"/>
        <v>December</v>
      </c>
      <c r="R472" s="106">
        <f t="shared" si="28"/>
        <v>0</v>
      </c>
      <c r="S472" s="106">
        <f t="shared" si="29"/>
        <v>0</v>
      </c>
    </row>
    <row r="473" spans="17:19" x14ac:dyDescent="0.3">
      <c r="Q473" s="104" t="str">
        <f t="shared" si="27"/>
        <v>December</v>
      </c>
      <c r="R473" s="106">
        <f t="shared" si="28"/>
        <v>0</v>
      </c>
      <c r="S473" s="106">
        <f t="shared" si="29"/>
        <v>0</v>
      </c>
    </row>
    <row r="474" spans="17:19" x14ac:dyDescent="0.3">
      <c r="Q474" s="104" t="str">
        <f t="shared" si="27"/>
        <v>December</v>
      </c>
      <c r="R474" s="106">
        <f t="shared" si="28"/>
        <v>0</v>
      </c>
      <c r="S474" s="106">
        <f t="shared" si="29"/>
        <v>0</v>
      </c>
    </row>
    <row r="475" spans="17:19" x14ac:dyDescent="0.3">
      <c r="Q475" s="104" t="str">
        <f t="shared" si="27"/>
        <v>December</v>
      </c>
      <c r="R475" s="106">
        <f t="shared" si="28"/>
        <v>0</v>
      </c>
      <c r="S475" s="106">
        <f t="shared" si="29"/>
        <v>0</v>
      </c>
    </row>
    <row r="476" spans="17:19" x14ac:dyDescent="0.3">
      <c r="Q476" s="104" t="str">
        <f t="shared" si="27"/>
        <v>December</v>
      </c>
      <c r="R476" s="106">
        <f t="shared" si="28"/>
        <v>0</v>
      </c>
      <c r="S476" s="106">
        <f t="shared" si="29"/>
        <v>0</v>
      </c>
    </row>
    <row r="477" spans="17:19" x14ac:dyDescent="0.3">
      <c r="Q477" s="104" t="str">
        <f t="shared" si="27"/>
        <v>December</v>
      </c>
      <c r="R477" s="106">
        <f t="shared" si="28"/>
        <v>0</v>
      </c>
      <c r="S477" s="106">
        <f t="shared" si="29"/>
        <v>0</v>
      </c>
    </row>
    <row r="478" spans="17:19" x14ac:dyDescent="0.3">
      <c r="Q478" s="104" t="str">
        <f t="shared" si="27"/>
        <v>December</v>
      </c>
      <c r="R478" s="106">
        <f t="shared" si="28"/>
        <v>0</v>
      </c>
      <c r="S478" s="106">
        <f t="shared" si="29"/>
        <v>0</v>
      </c>
    </row>
    <row r="479" spans="17:19" x14ac:dyDescent="0.3">
      <c r="Q479" s="104" t="str">
        <f t="shared" si="27"/>
        <v>December</v>
      </c>
      <c r="R479" s="106">
        <f t="shared" si="28"/>
        <v>0</v>
      </c>
      <c r="S479" s="106">
        <f t="shared" si="29"/>
        <v>0</v>
      </c>
    </row>
    <row r="480" spans="17:19" x14ac:dyDescent="0.3">
      <c r="Q480" s="104" t="str">
        <f t="shared" si="27"/>
        <v>December</v>
      </c>
      <c r="R480" s="106">
        <f t="shared" si="28"/>
        <v>0</v>
      </c>
      <c r="S480" s="106">
        <f t="shared" si="29"/>
        <v>0</v>
      </c>
    </row>
    <row r="481" spans="17:19" x14ac:dyDescent="0.3">
      <c r="Q481" s="104" t="str">
        <f t="shared" si="27"/>
        <v>December</v>
      </c>
      <c r="R481" s="106">
        <f t="shared" si="28"/>
        <v>0</v>
      </c>
      <c r="S481" s="106">
        <f t="shared" si="29"/>
        <v>0</v>
      </c>
    </row>
    <row r="482" spans="17:19" x14ac:dyDescent="0.3">
      <c r="Q482" s="104" t="str">
        <f t="shared" si="27"/>
        <v>December</v>
      </c>
      <c r="R482" s="106">
        <f t="shared" si="28"/>
        <v>0</v>
      </c>
      <c r="S482" s="106">
        <f t="shared" si="29"/>
        <v>0</v>
      </c>
    </row>
    <row r="483" spans="17:19" x14ac:dyDescent="0.3">
      <c r="Q483" s="104" t="str">
        <f t="shared" si="27"/>
        <v>December</v>
      </c>
      <c r="R483" s="106">
        <f t="shared" si="28"/>
        <v>0</v>
      </c>
      <c r="S483" s="106">
        <f t="shared" si="29"/>
        <v>0</v>
      </c>
    </row>
    <row r="484" spans="17:19" x14ac:dyDescent="0.3">
      <c r="Q484" s="104" t="str">
        <f t="shared" si="27"/>
        <v>December</v>
      </c>
      <c r="R484" s="106">
        <f t="shared" si="28"/>
        <v>0</v>
      </c>
      <c r="S484" s="106">
        <f t="shared" si="29"/>
        <v>0</v>
      </c>
    </row>
    <row r="485" spans="17:19" x14ac:dyDescent="0.3">
      <c r="Q485" s="104" t="str">
        <f t="shared" si="27"/>
        <v>December</v>
      </c>
      <c r="R485" s="106">
        <f t="shared" si="28"/>
        <v>0</v>
      </c>
      <c r="S485" s="106">
        <f t="shared" si="29"/>
        <v>0</v>
      </c>
    </row>
    <row r="486" spans="17:19" x14ac:dyDescent="0.3">
      <c r="Q486" s="104" t="str">
        <f t="shared" si="27"/>
        <v>December</v>
      </c>
      <c r="R486" s="106">
        <f t="shared" si="28"/>
        <v>0</v>
      </c>
      <c r="S486" s="106">
        <f t="shared" si="29"/>
        <v>0</v>
      </c>
    </row>
    <row r="487" spans="17:19" x14ac:dyDescent="0.3">
      <c r="Q487" s="104" t="str">
        <f t="shared" si="27"/>
        <v>December</v>
      </c>
      <c r="R487" s="106">
        <f t="shared" si="28"/>
        <v>0</v>
      </c>
      <c r="S487" s="106">
        <f t="shared" si="29"/>
        <v>0</v>
      </c>
    </row>
    <row r="488" spans="17:19" x14ac:dyDescent="0.3">
      <c r="Q488" s="104" t="str">
        <f t="shared" si="27"/>
        <v>December</v>
      </c>
      <c r="R488" s="106">
        <f t="shared" si="28"/>
        <v>0</v>
      </c>
      <c r="S488" s="106">
        <f t="shared" si="29"/>
        <v>0</v>
      </c>
    </row>
    <row r="489" spans="17:19" x14ac:dyDescent="0.3">
      <c r="Q489" s="104" t="str">
        <f t="shared" si="27"/>
        <v>December</v>
      </c>
      <c r="R489" s="106">
        <f t="shared" si="28"/>
        <v>0</v>
      </c>
      <c r="S489" s="106">
        <f t="shared" si="29"/>
        <v>0</v>
      </c>
    </row>
    <row r="490" spans="17:19" x14ac:dyDescent="0.3">
      <c r="Q490" s="104" t="str">
        <f t="shared" si="27"/>
        <v>December</v>
      </c>
      <c r="R490" s="106">
        <f t="shared" si="28"/>
        <v>0</v>
      </c>
      <c r="S490" s="106">
        <f t="shared" si="29"/>
        <v>0</v>
      </c>
    </row>
    <row r="491" spans="17:19" x14ac:dyDescent="0.3">
      <c r="Q491" s="104" t="str">
        <f t="shared" si="27"/>
        <v>December</v>
      </c>
      <c r="R491" s="106">
        <f t="shared" si="28"/>
        <v>0</v>
      </c>
      <c r="S491" s="106">
        <f t="shared" si="29"/>
        <v>0</v>
      </c>
    </row>
    <row r="492" spans="17:19" x14ac:dyDescent="0.3">
      <c r="Q492" s="104" t="str">
        <f t="shared" si="27"/>
        <v>December</v>
      </c>
      <c r="R492" s="106">
        <f t="shared" si="28"/>
        <v>0</v>
      </c>
      <c r="S492" s="106">
        <f t="shared" si="29"/>
        <v>0</v>
      </c>
    </row>
    <row r="493" spans="17:19" x14ac:dyDescent="0.3">
      <c r="Q493" s="104" t="str">
        <f t="shared" si="27"/>
        <v>December</v>
      </c>
      <c r="R493" s="106">
        <f t="shared" si="28"/>
        <v>0</v>
      </c>
      <c r="S493" s="106">
        <f t="shared" si="29"/>
        <v>0</v>
      </c>
    </row>
    <row r="494" spans="17:19" x14ac:dyDescent="0.3">
      <c r="Q494" s="104" t="str">
        <f t="shared" si="27"/>
        <v>December</v>
      </c>
      <c r="R494" s="106">
        <f t="shared" si="28"/>
        <v>0</v>
      </c>
      <c r="S494" s="106">
        <f t="shared" si="29"/>
        <v>0</v>
      </c>
    </row>
    <row r="495" spans="17:19" x14ac:dyDescent="0.3">
      <c r="Q495" s="104" t="str">
        <f t="shared" si="27"/>
        <v>December</v>
      </c>
      <c r="R495" s="106">
        <f t="shared" si="28"/>
        <v>0</v>
      </c>
      <c r="S495" s="106">
        <f t="shared" si="29"/>
        <v>0</v>
      </c>
    </row>
    <row r="496" spans="17:19" x14ac:dyDescent="0.3">
      <c r="Q496" s="104" t="str">
        <f t="shared" si="27"/>
        <v>December</v>
      </c>
      <c r="R496" s="106">
        <f t="shared" si="28"/>
        <v>0</v>
      </c>
      <c r="S496" s="106">
        <f t="shared" si="29"/>
        <v>0</v>
      </c>
    </row>
    <row r="497" spans="17:19" x14ac:dyDescent="0.3">
      <c r="Q497" s="104" t="str">
        <f t="shared" si="27"/>
        <v>December</v>
      </c>
      <c r="R497" s="106">
        <f t="shared" si="28"/>
        <v>0</v>
      </c>
      <c r="S497" s="106">
        <f t="shared" si="29"/>
        <v>0</v>
      </c>
    </row>
    <row r="498" spans="17:19" x14ac:dyDescent="0.3">
      <c r="Q498" s="104" t="str">
        <f t="shared" si="27"/>
        <v>December</v>
      </c>
      <c r="R498" s="106">
        <f t="shared" si="28"/>
        <v>0</v>
      </c>
      <c r="S498" s="106">
        <f t="shared" si="29"/>
        <v>0</v>
      </c>
    </row>
    <row r="499" spans="17:19" x14ac:dyDescent="0.3">
      <c r="Q499" s="104" t="str">
        <f t="shared" si="27"/>
        <v>December</v>
      </c>
      <c r="R499" s="106">
        <f t="shared" si="28"/>
        <v>0</v>
      </c>
      <c r="S499" s="106">
        <f t="shared" si="29"/>
        <v>0</v>
      </c>
    </row>
    <row r="500" spans="17:19" x14ac:dyDescent="0.3">
      <c r="Q500" s="104" t="str">
        <f t="shared" si="27"/>
        <v>December</v>
      </c>
      <c r="R500" s="106">
        <f t="shared" si="28"/>
        <v>0</v>
      </c>
      <c r="S500" s="106">
        <f t="shared" si="29"/>
        <v>0</v>
      </c>
    </row>
  </sheetData>
  <mergeCells count="37">
    <mergeCell ref="A112:A121"/>
    <mergeCell ref="B112:B121"/>
    <mergeCell ref="A82:A91"/>
    <mergeCell ref="B82:B91"/>
    <mergeCell ref="A92:A101"/>
    <mergeCell ref="B92:B101"/>
    <mergeCell ref="A102:A111"/>
    <mergeCell ref="B102:B111"/>
    <mergeCell ref="A72:A81"/>
    <mergeCell ref="B72:B81"/>
    <mergeCell ref="A42:A51"/>
    <mergeCell ref="B42:B51"/>
    <mergeCell ref="A52:A64"/>
    <mergeCell ref="B52:B64"/>
    <mergeCell ref="A65:A71"/>
    <mergeCell ref="B65:B71"/>
    <mergeCell ref="F1:F2"/>
    <mergeCell ref="B3:B15"/>
    <mergeCell ref="A3:A15"/>
    <mergeCell ref="B16:B20"/>
    <mergeCell ref="A16:A20"/>
    <mergeCell ref="P1:P2"/>
    <mergeCell ref="A21:A31"/>
    <mergeCell ref="B21:B31"/>
    <mergeCell ref="A32:A41"/>
    <mergeCell ref="B32:B41"/>
    <mergeCell ref="M1:M2"/>
    <mergeCell ref="G1:H1"/>
    <mergeCell ref="I1:J1"/>
    <mergeCell ref="K1:L1"/>
    <mergeCell ref="N1:N2"/>
    <mergeCell ref="O1:O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"/>
  <sheetViews>
    <sheetView zoomScaleNormal="100" workbookViewId="0">
      <pane xSplit="1" ySplit="2" topLeftCell="D83" activePane="bottomRight" state="frozen"/>
      <selection pane="topRight" activeCell="B1" sqref="B1"/>
      <selection pane="bottomLeft" activeCell="A3" sqref="A3"/>
      <selection pane="bottomRight" activeCell="R14" sqref="R14"/>
    </sheetView>
  </sheetViews>
  <sheetFormatPr defaultRowHeight="15.05" x14ac:dyDescent="0.3"/>
  <cols>
    <col min="1" max="1" width="3.88671875" style="4" customWidth="1"/>
    <col min="2" max="2" width="5" style="5" customWidth="1"/>
    <col min="3" max="3" width="26.6640625" style="2" customWidth="1"/>
    <col min="4" max="4" width="7.77734375" style="2" customWidth="1"/>
    <col min="5" max="6" width="13.109375" style="2" customWidth="1"/>
    <col min="7" max="12" width="7.109375" style="2" customWidth="1"/>
    <col min="13" max="13" width="11.33203125" style="6" customWidth="1"/>
    <col min="14" max="14" width="14.21875" style="6" customWidth="1"/>
    <col min="15" max="15" width="14.21875" style="2" customWidth="1"/>
    <col min="16" max="16384" width="8.88671875" style="2"/>
  </cols>
  <sheetData>
    <row r="1" spans="1:15" customFormat="1" ht="30.05" customHeight="1" x14ac:dyDescent="0.3">
      <c r="A1" s="168" t="s">
        <v>80</v>
      </c>
      <c r="B1" s="166" t="s">
        <v>0</v>
      </c>
      <c r="C1" s="166" t="s">
        <v>110</v>
      </c>
      <c r="D1" s="166" t="s">
        <v>95</v>
      </c>
      <c r="E1" s="166" t="s">
        <v>111</v>
      </c>
      <c r="F1" s="166" t="s">
        <v>112</v>
      </c>
      <c r="G1" s="166" t="s">
        <v>113</v>
      </c>
      <c r="H1" s="166"/>
      <c r="I1" s="166" t="s">
        <v>114</v>
      </c>
      <c r="J1" s="166"/>
      <c r="K1" s="166" t="s">
        <v>115</v>
      </c>
      <c r="L1" s="166"/>
      <c r="M1" s="166" t="s">
        <v>117</v>
      </c>
      <c r="N1" s="166" t="s">
        <v>118</v>
      </c>
      <c r="O1" s="44" t="s">
        <v>79</v>
      </c>
    </row>
    <row r="2" spans="1:15" customFormat="1" ht="16" customHeight="1" thickBot="1" x14ac:dyDescent="0.35">
      <c r="A2" s="169"/>
      <c r="B2" s="167"/>
      <c r="C2" s="167"/>
      <c r="D2" s="167"/>
      <c r="E2" s="167"/>
      <c r="F2" s="167"/>
      <c r="G2" s="45">
        <v>20</v>
      </c>
      <c r="H2" s="46">
        <v>40</v>
      </c>
      <c r="I2" s="45">
        <v>20</v>
      </c>
      <c r="J2" s="46">
        <v>40</v>
      </c>
      <c r="K2" s="45">
        <v>20</v>
      </c>
      <c r="L2" s="46">
        <v>40</v>
      </c>
      <c r="M2" s="167"/>
      <c r="N2" s="167"/>
      <c r="O2" s="47"/>
    </row>
    <row r="3" spans="1:15" customFormat="1" x14ac:dyDescent="0.3">
      <c r="A3" s="153" t="s">
        <v>81</v>
      </c>
      <c r="B3" s="157">
        <f>COUNTA(C3:C11)</f>
        <v>9</v>
      </c>
      <c r="C3" s="32" t="s">
        <v>12</v>
      </c>
      <c r="D3" s="33" t="s">
        <v>13</v>
      </c>
      <c r="E3" s="34">
        <v>45655</v>
      </c>
      <c r="F3" s="34">
        <v>45659</v>
      </c>
      <c r="G3" s="35">
        <v>213</v>
      </c>
      <c r="H3" s="35">
        <v>248</v>
      </c>
      <c r="I3" s="35"/>
      <c r="J3" s="35">
        <v>5</v>
      </c>
      <c r="K3" s="35">
        <v>197</v>
      </c>
      <c r="L3" s="35">
        <v>164</v>
      </c>
      <c r="M3" s="35">
        <f>G3+H3*2+I3+J3*2+K3+L3*2</f>
        <v>1244</v>
      </c>
      <c r="N3" s="35">
        <f>SUM(G3:L3)</f>
        <v>827</v>
      </c>
      <c r="O3" s="43">
        <f>SUM(M3:M11)</f>
        <v>11995</v>
      </c>
    </row>
    <row r="4" spans="1:15" customFormat="1" ht="14.4" customHeight="1" x14ac:dyDescent="0.3">
      <c r="A4" s="154"/>
      <c r="B4" s="158"/>
      <c r="C4" s="8" t="s">
        <v>1</v>
      </c>
      <c r="D4" s="9" t="s">
        <v>2</v>
      </c>
      <c r="E4" s="10">
        <v>45659.841666666667</v>
      </c>
      <c r="F4" s="10">
        <v>45663.777777777781</v>
      </c>
      <c r="G4" s="11">
        <v>221</v>
      </c>
      <c r="H4" s="11">
        <v>193</v>
      </c>
      <c r="I4" s="11">
        <v>17</v>
      </c>
      <c r="J4" s="11">
        <v>2</v>
      </c>
      <c r="K4" s="11">
        <v>55</v>
      </c>
      <c r="L4" s="11">
        <v>335</v>
      </c>
      <c r="M4" s="11">
        <f>G4+H4*2+I4+J4*2+K4+L4*2</f>
        <v>1353</v>
      </c>
      <c r="N4" s="11">
        <f>SUM(G4:L4)</f>
        <v>823</v>
      </c>
      <c r="O4" s="40"/>
    </row>
    <row r="5" spans="1:15" customFormat="1" x14ac:dyDescent="0.3">
      <c r="A5" s="154"/>
      <c r="B5" s="158"/>
      <c r="C5" s="8" t="s">
        <v>3</v>
      </c>
      <c r="D5" s="9" t="s">
        <v>2</v>
      </c>
      <c r="E5" s="10">
        <v>45663.806944444441</v>
      </c>
      <c r="F5" s="10">
        <v>45667.760416666664</v>
      </c>
      <c r="G5" s="11">
        <v>15</v>
      </c>
      <c r="H5" s="11">
        <v>408</v>
      </c>
      <c r="I5" s="11">
        <v>11</v>
      </c>
      <c r="J5" s="11">
        <v>37</v>
      </c>
      <c r="K5" s="11">
        <v>32</v>
      </c>
      <c r="L5" s="11">
        <v>125</v>
      </c>
      <c r="M5" s="11">
        <f t="shared" ref="M5:M69" si="0">G5+H5*2+I5+J5*2+K5+L5*2</f>
        <v>1198</v>
      </c>
      <c r="N5" s="11">
        <f t="shared" ref="N5:N63" si="1">SUM(G5:L5)</f>
        <v>628</v>
      </c>
      <c r="O5" s="40"/>
    </row>
    <row r="6" spans="1:15" x14ac:dyDescent="0.3">
      <c r="A6" s="154"/>
      <c r="B6" s="158"/>
      <c r="C6" s="8" t="s">
        <v>4</v>
      </c>
      <c r="D6" s="9" t="s">
        <v>5</v>
      </c>
      <c r="E6" s="10">
        <v>45666.6875</v>
      </c>
      <c r="F6" s="10">
        <v>45670.52847222222</v>
      </c>
      <c r="G6" s="11">
        <v>246</v>
      </c>
      <c r="H6" s="11">
        <v>159</v>
      </c>
      <c r="I6" s="11">
        <v>4</v>
      </c>
      <c r="J6" s="11">
        <v>2</v>
      </c>
      <c r="K6" s="11">
        <v>158</v>
      </c>
      <c r="L6" s="11">
        <v>82</v>
      </c>
      <c r="M6" s="11">
        <f t="shared" si="0"/>
        <v>894</v>
      </c>
      <c r="N6" s="11">
        <f t="shared" si="1"/>
        <v>651</v>
      </c>
      <c r="O6" s="40"/>
    </row>
    <row r="7" spans="1:15" customFormat="1" x14ac:dyDescent="0.3">
      <c r="A7" s="154"/>
      <c r="B7" s="158"/>
      <c r="C7" s="8" t="s">
        <v>6</v>
      </c>
      <c r="D7" s="9" t="s">
        <v>2</v>
      </c>
      <c r="E7" s="10">
        <v>45670.9375</v>
      </c>
      <c r="F7" s="10">
        <v>45675.769444444442</v>
      </c>
      <c r="G7" s="11">
        <v>145</v>
      </c>
      <c r="H7" s="11">
        <v>443</v>
      </c>
      <c r="I7" s="11">
        <v>51</v>
      </c>
      <c r="J7" s="11">
        <v>11</v>
      </c>
      <c r="K7" s="11">
        <v>68</v>
      </c>
      <c r="L7" s="11">
        <v>282</v>
      </c>
      <c r="M7" s="11">
        <f t="shared" si="0"/>
        <v>1736</v>
      </c>
      <c r="N7" s="11">
        <f t="shared" si="1"/>
        <v>1000</v>
      </c>
      <c r="O7" s="40"/>
    </row>
    <row r="8" spans="1:15" x14ac:dyDescent="0.3">
      <c r="A8" s="154"/>
      <c r="B8" s="158"/>
      <c r="C8" s="8" t="s">
        <v>7</v>
      </c>
      <c r="D8" s="9" t="s">
        <v>5</v>
      </c>
      <c r="E8" s="10">
        <v>45675.933333333334</v>
      </c>
      <c r="F8" s="10">
        <v>45681.797222222223</v>
      </c>
      <c r="G8" s="11">
        <v>291</v>
      </c>
      <c r="H8" s="11">
        <v>96</v>
      </c>
      <c r="I8" s="11">
        <v>0</v>
      </c>
      <c r="J8" s="11">
        <v>15</v>
      </c>
      <c r="K8" s="11">
        <v>215</v>
      </c>
      <c r="L8" s="11">
        <v>126</v>
      </c>
      <c r="M8" s="11">
        <f t="shared" si="0"/>
        <v>980</v>
      </c>
      <c r="N8" s="11">
        <f t="shared" si="1"/>
        <v>743</v>
      </c>
      <c r="O8" s="40"/>
    </row>
    <row r="9" spans="1:15" customFormat="1" x14ac:dyDescent="0.3">
      <c r="A9" s="154"/>
      <c r="B9" s="158"/>
      <c r="C9" s="8" t="s">
        <v>8</v>
      </c>
      <c r="D9" s="9" t="s">
        <v>9</v>
      </c>
      <c r="E9" s="10">
        <v>45677.888888888891</v>
      </c>
      <c r="F9" s="10">
        <v>45686.489583333336</v>
      </c>
      <c r="G9" s="11">
        <v>224</v>
      </c>
      <c r="H9" s="11">
        <v>373</v>
      </c>
      <c r="I9" s="11">
        <v>87</v>
      </c>
      <c r="J9" s="11">
        <v>19</v>
      </c>
      <c r="K9" s="11">
        <v>384</v>
      </c>
      <c r="L9" s="11">
        <v>282</v>
      </c>
      <c r="M9" s="11">
        <f t="shared" si="0"/>
        <v>2043</v>
      </c>
      <c r="N9" s="11">
        <f t="shared" si="1"/>
        <v>1369</v>
      </c>
      <c r="O9" s="40"/>
    </row>
    <row r="10" spans="1:15" customFormat="1" x14ac:dyDescent="0.3">
      <c r="A10" s="155"/>
      <c r="B10" s="159"/>
      <c r="C10" s="16" t="s">
        <v>10</v>
      </c>
      <c r="D10" s="17" t="s">
        <v>2</v>
      </c>
      <c r="E10" s="18">
        <v>45681.807638888888</v>
      </c>
      <c r="F10" s="18">
        <v>45687.806944444441</v>
      </c>
      <c r="G10" s="19">
        <v>64</v>
      </c>
      <c r="H10" s="19">
        <v>337</v>
      </c>
      <c r="I10" s="19">
        <v>111</v>
      </c>
      <c r="J10" s="19">
        <v>15</v>
      </c>
      <c r="K10" s="19">
        <v>3</v>
      </c>
      <c r="L10" s="19">
        <v>357</v>
      </c>
      <c r="M10" s="19">
        <f t="shared" si="0"/>
        <v>1596</v>
      </c>
      <c r="N10" s="19">
        <f t="shared" si="1"/>
        <v>887</v>
      </c>
      <c r="O10" s="41"/>
    </row>
    <row r="11" spans="1:15" customFormat="1" ht="15.65" thickBot="1" x14ac:dyDescent="0.35">
      <c r="A11" s="156"/>
      <c r="B11" s="160"/>
      <c r="C11" s="24" t="s">
        <v>11</v>
      </c>
      <c r="D11" s="25" t="s">
        <v>2</v>
      </c>
      <c r="E11" s="26">
        <v>45687.340277777781</v>
      </c>
      <c r="F11" s="26">
        <v>45690.996527777781</v>
      </c>
      <c r="G11" s="27">
        <v>10</v>
      </c>
      <c r="H11" s="27">
        <v>251</v>
      </c>
      <c r="I11" s="27">
        <v>61</v>
      </c>
      <c r="J11" s="27">
        <v>49</v>
      </c>
      <c r="K11" s="27">
        <v>0</v>
      </c>
      <c r="L11" s="27">
        <v>140</v>
      </c>
      <c r="M11" s="27">
        <f t="shared" si="0"/>
        <v>951</v>
      </c>
      <c r="N11" s="27">
        <f t="shared" si="1"/>
        <v>511</v>
      </c>
      <c r="O11" s="42"/>
    </row>
    <row r="12" spans="1:15" x14ac:dyDescent="0.3">
      <c r="A12" s="149" t="s">
        <v>82</v>
      </c>
      <c r="B12" s="161">
        <f>COUNTA(C12:C16)</f>
        <v>5</v>
      </c>
      <c r="C12" s="20" t="s">
        <v>12</v>
      </c>
      <c r="D12" s="21" t="s">
        <v>13</v>
      </c>
      <c r="E12" s="22">
        <v>45691.076388888891</v>
      </c>
      <c r="F12" s="22">
        <v>45694.5625</v>
      </c>
      <c r="G12" s="23">
        <v>234</v>
      </c>
      <c r="H12" s="23">
        <v>240</v>
      </c>
      <c r="I12" s="23">
        <v>52</v>
      </c>
      <c r="J12" s="23">
        <v>6</v>
      </c>
      <c r="K12" s="23">
        <v>175</v>
      </c>
      <c r="L12" s="23">
        <v>241</v>
      </c>
      <c r="M12" s="23">
        <f t="shared" si="0"/>
        <v>1435</v>
      </c>
      <c r="N12" s="23">
        <f t="shared" si="1"/>
        <v>948</v>
      </c>
      <c r="O12" s="43">
        <f>SUM(M12:M16)</f>
        <v>6492</v>
      </c>
    </row>
    <row r="13" spans="1:15" customFormat="1" x14ac:dyDescent="0.3">
      <c r="A13" s="150"/>
      <c r="B13" s="162"/>
      <c r="C13" s="12" t="s">
        <v>14</v>
      </c>
      <c r="D13" s="13" t="s">
        <v>9</v>
      </c>
      <c r="E13" s="14">
        <v>45694.604166666664</v>
      </c>
      <c r="F13" s="14">
        <v>45696.604166666664</v>
      </c>
      <c r="G13" s="15">
        <v>161</v>
      </c>
      <c r="H13" s="15">
        <v>247</v>
      </c>
      <c r="I13" s="15">
        <v>0</v>
      </c>
      <c r="J13" s="15">
        <v>0</v>
      </c>
      <c r="K13" s="15">
        <v>0</v>
      </c>
      <c r="L13" s="15">
        <v>40</v>
      </c>
      <c r="M13" s="15">
        <f t="shared" si="0"/>
        <v>735</v>
      </c>
      <c r="N13" s="15">
        <f>SUM(G13:L13)</f>
        <v>448</v>
      </c>
      <c r="O13" s="40"/>
    </row>
    <row r="14" spans="1:15" x14ac:dyDescent="0.3">
      <c r="A14" s="150"/>
      <c r="B14" s="162"/>
      <c r="C14" s="12" t="s">
        <v>15</v>
      </c>
      <c r="D14" s="13" t="s">
        <v>9</v>
      </c>
      <c r="E14" s="14">
        <v>45696.65625</v>
      </c>
      <c r="F14" s="14">
        <v>45701.368055555555</v>
      </c>
      <c r="G14" s="15">
        <v>209</v>
      </c>
      <c r="H14" s="15">
        <v>250</v>
      </c>
      <c r="I14" s="15">
        <v>50</v>
      </c>
      <c r="J14" s="15">
        <v>5</v>
      </c>
      <c r="K14" s="15">
        <v>157</v>
      </c>
      <c r="L14" s="15">
        <v>313</v>
      </c>
      <c r="M14" s="15">
        <f t="shared" si="0"/>
        <v>1552</v>
      </c>
      <c r="N14" s="15">
        <f t="shared" si="1"/>
        <v>984</v>
      </c>
      <c r="O14" s="40"/>
    </row>
    <row r="15" spans="1:15" customFormat="1" x14ac:dyDescent="0.3">
      <c r="A15" s="151"/>
      <c r="B15" s="163"/>
      <c r="C15" s="28" t="s">
        <v>4</v>
      </c>
      <c r="D15" s="29" t="s">
        <v>5</v>
      </c>
      <c r="E15" s="30">
        <v>45704.879166666666</v>
      </c>
      <c r="F15" s="30">
        <v>45707.916666666664</v>
      </c>
      <c r="G15" s="31">
        <v>280</v>
      </c>
      <c r="H15" s="31">
        <v>104</v>
      </c>
      <c r="I15" s="31">
        <v>24</v>
      </c>
      <c r="J15" s="31">
        <v>20</v>
      </c>
      <c r="K15" s="31">
        <v>266</v>
      </c>
      <c r="L15" s="31">
        <v>86</v>
      </c>
      <c r="M15" s="31">
        <f t="shared" si="0"/>
        <v>990</v>
      </c>
      <c r="N15" s="31">
        <f t="shared" si="1"/>
        <v>780</v>
      </c>
      <c r="O15" s="41"/>
    </row>
    <row r="16" spans="1:15" customFormat="1" ht="15.65" thickBot="1" x14ac:dyDescent="0.35">
      <c r="A16" s="152"/>
      <c r="B16" s="164"/>
      <c r="C16" s="36" t="s">
        <v>3</v>
      </c>
      <c r="D16" s="37" t="s">
        <v>2</v>
      </c>
      <c r="E16" s="38">
        <v>45710.379166666666</v>
      </c>
      <c r="F16" s="38">
        <v>45714.770833333336</v>
      </c>
      <c r="G16" s="39">
        <v>182</v>
      </c>
      <c r="H16" s="39">
        <v>322</v>
      </c>
      <c r="I16" s="39">
        <v>132</v>
      </c>
      <c r="J16" s="39">
        <v>164</v>
      </c>
      <c r="K16" s="39">
        <v>2</v>
      </c>
      <c r="L16" s="39">
        <v>246</v>
      </c>
      <c r="M16" s="39">
        <f t="shared" si="0"/>
        <v>1780</v>
      </c>
      <c r="N16" s="39">
        <f t="shared" si="1"/>
        <v>1048</v>
      </c>
      <c r="O16" s="42"/>
    </row>
    <row r="17" spans="1:15" customFormat="1" ht="14.4" customHeight="1" x14ac:dyDescent="0.3">
      <c r="A17" s="153" t="s">
        <v>83</v>
      </c>
      <c r="B17" s="157">
        <f>COUNTA(C17:C24)</f>
        <v>8</v>
      </c>
      <c r="C17" s="32" t="s">
        <v>1</v>
      </c>
      <c r="D17" s="33" t="s">
        <v>2</v>
      </c>
      <c r="E17" s="34">
        <v>45720.444444444445</v>
      </c>
      <c r="F17" s="34">
        <v>45723.989583333336</v>
      </c>
      <c r="G17" s="35">
        <v>196</v>
      </c>
      <c r="H17" s="35">
        <v>263</v>
      </c>
      <c r="I17" s="35">
        <v>59</v>
      </c>
      <c r="J17" s="35">
        <v>100</v>
      </c>
      <c r="K17" s="35">
        <v>2</v>
      </c>
      <c r="L17" s="35">
        <v>278</v>
      </c>
      <c r="M17" s="35">
        <f t="shared" si="0"/>
        <v>1539</v>
      </c>
      <c r="N17" s="35">
        <f t="shared" si="1"/>
        <v>898</v>
      </c>
      <c r="O17" s="43">
        <f>SUM(M17:M24)</f>
        <v>9243</v>
      </c>
    </row>
    <row r="18" spans="1:15" customFormat="1" x14ac:dyDescent="0.3">
      <c r="A18" s="154"/>
      <c r="B18" s="158"/>
      <c r="C18" s="8" t="s">
        <v>12</v>
      </c>
      <c r="D18" s="9" t="s">
        <v>13</v>
      </c>
      <c r="E18" s="10">
        <v>45724.072916666664</v>
      </c>
      <c r="F18" s="10">
        <v>45727.474999999999</v>
      </c>
      <c r="G18" s="11">
        <v>233</v>
      </c>
      <c r="H18" s="11">
        <v>233</v>
      </c>
      <c r="I18" s="11">
        <v>1</v>
      </c>
      <c r="J18" s="11">
        <v>38</v>
      </c>
      <c r="K18" s="11">
        <v>195</v>
      </c>
      <c r="L18" s="11">
        <v>302</v>
      </c>
      <c r="M18" s="11">
        <f t="shared" si="0"/>
        <v>1575</v>
      </c>
      <c r="N18" s="11">
        <f t="shared" si="1"/>
        <v>1002</v>
      </c>
      <c r="O18" s="40"/>
    </row>
    <row r="19" spans="1:15" customFormat="1" x14ac:dyDescent="0.3">
      <c r="A19" s="154"/>
      <c r="B19" s="158"/>
      <c r="C19" s="8" t="s">
        <v>4</v>
      </c>
      <c r="D19" s="9" t="s">
        <v>5</v>
      </c>
      <c r="E19" s="10">
        <v>45727.753472222219</v>
      </c>
      <c r="F19" s="10">
        <v>45730.895833333336</v>
      </c>
      <c r="G19" s="11">
        <v>187</v>
      </c>
      <c r="H19" s="11">
        <v>223</v>
      </c>
      <c r="I19" s="11">
        <v>12</v>
      </c>
      <c r="J19" s="11">
        <v>112</v>
      </c>
      <c r="K19" s="11">
        <v>343</v>
      </c>
      <c r="L19" s="11">
        <v>30</v>
      </c>
      <c r="M19" s="11">
        <f t="shared" si="0"/>
        <v>1272</v>
      </c>
      <c r="N19" s="11">
        <f t="shared" si="1"/>
        <v>907</v>
      </c>
      <c r="O19" s="40"/>
    </row>
    <row r="20" spans="1:15" customFormat="1" x14ac:dyDescent="0.3">
      <c r="A20" s="154"/>
      <c r="B20" s="158"/>
      <c r="C20" s="8" t="s">
        <v>7</v>
      </c>
      <c r="D20" s="9" t="s">
        <v>5</v>
      </c>
      <c r="E20" s="10">
        <v>45730.958333333336</v>
      </c>
      <c r="F20" s="10">
        <v>45733.897222222222</v>
      </c>
      <c r="G20" s="11">
        <v>282</v>
      </c>
      <c r="H20" s="11">
        <v>105</v>
      </c>
      <c r="I20" s="11">
        <v>0</v>
      </c>
      <c r="J20" s="11">
        <v>0</v>
      </c>
      <c r="K20" s="11">
        <v>69</v>
      </c>
      <c r="L20" s="11">
        <v>73</v>
      </c>
      <c r="M20" s="11">
        <f t="shared" si="0"/>
        <v>707</v>
      </c>
      <c r="N20" s="11">
        <f t="shared" si="1"/>
        <v>529</v>
      </c>
      <c r="O20" s="40"/>
    </row>
    <row r="21" spans="1:15" customFormat="1" x14ac:dyDescent="0.3">
      <c r="A21" s="154"/>
      <c r="B21" s="158"/>
      <c r="C21" s="8" t="s">
        <v>14</v>
      </c>
      <c r="D21" s="9" t="s">
        <v>9</v>
      </c>
      <c r="E21" s="10">
        <v>45730.569444444445</v>
      </c>
      <c r="F21" s="10">
        <v>45732.690972222219</v>
      </c>
      <c r="G21" s="11">
        <v>235</v>
      </c>
      <c r="H21" s="11">
        <v>253</v>
      </c>
      <c r="I21" s="11">
        <v>0</v>
      </c>
      <c r="J21" s="11">
        <v>0</v>
      </c>
      <c r="K21" s="11">
        <v>0</v>
      </c>
      <c r="L21" s="11">
        <v>110</v>
      </c>
      <c r="M21" s="11">
        <f t="shared" si="0"/>
        <v>961</v>
      </c>
      <c r="N21" s="11">
        <f t="shared" si="1"/>
        <v>598</v>
      </c>
      <c r="O21" s="40"/>
    </row>
    <row r="22" spans="1:15" customFormat="1" x14ac:dyDescent="0.3">
      <c r="A22" s="154"/>
      <c r="B22" s="158"/>
      <c r="C22" s="8" t="s">
        <v>11</v>
      </c>
      <c r="D22" s="9" t="s">
        <v>2</v>
      </c>
      <c r="E22" s="10">
        <v>45732.715277777781</v>
      </c>
      <c r="F22" s="10">
        <v>45736.738194444442</v>
      </c>
      <c r="G22" s="11">
        <v>75</v>
      </c>
      <c r="H22" s="11">
        <v>238</v>
      </c>
      <c r="I22" s="11">
        <v>73</v>
      </c>
      <c r="J22" s="11">
        <v>88</v>
      </c>
      <c r="K22" s="11">
        <v>6</v>
      </c>
      <c r="L22" s="11">
        <v>194</v>
      </c>
      <c r="M22" s="11">
        <f t="shared" si="0"/>
        <v>1194</v>
      </c>
      <c r="N22" s="11">
        <f t="shared" si="1"/>
        <v>674</v>
      </c>
      <c r="O22" s="40"/>
    </row>
    <row r="23" spans="1:15" customFormat="1" x14ac:dyDescent="0.3">
      <c r="A23" s="155"/>
      <c r="B23" s="159"/>
      <c r="C23" s="16" t="s">
        <v>16</v>
      </c>
      <c r="D23" s="17" t="s">
        <v>2</v>
      </c>
      <c r="E23" s="18">
        <v>45740.929166666669</v>
      </c>
      <c r="F23" s="18">
        <v>45742.902777777781</v>
      </c>
      <c r="G23" s="19">
        <v>2</v>
      </c>
      <c r="H23" s="19">
        <v>54</v>
      </c>
      <c r="I23" s="19">
        <v>48</v>
      </c>
      <c r="J23" s="19">
        <v>89</v>
      </c>
      <c r="K23" s="19">
        <v>5</v>
      </c>
      <c r="L23" s="19">
        <v>13</v>
      </c>
      <c r="M23" s="19">
        <f t="shared" si="0"/>
        <v>367</v>
      </c>
      <c r="N23" s="19">
        <f t="shared" si="1"/>
        <v>211</v>
      </c>
      <c r="O23" s="41"/>
    </row>
    <row r="24" spans="1:15" customFormat="1" ht="15.65" thickBot="1" x14ac:dyDescent="0.35">
      <c r="A24" s="156"/>
      <c r="B24" s="160"/>
      <c r="C24" s="24" t="s">
        <v>14</v>
      </c>
      <c r="D24" s="25" t="s">
        <v>9</v>
      </c>
      <c r="E24" s="26">
        <v>45743.875</v>
      </c>
      <c r="F24" s="26">
        <v>45748.767361111109</v>
      </c>
      <c r="G24" s="27">
        <v>274</v>
      </c>
      <c r="H24" s="27">
        <v>168</v>
      </c>
      <c r="I24" s="27">
        <v>210</v>
      </c>
      <c r="J24" s="27">
        <v>69</v>
      </c>
      <c r="K24" s="27">
        <v>202</v>
      </c>
      <c r="L24" s="27">
        <v>234</v>
      </c>
      <c r="M24" s="27">
        <f t="shared" si="0"/>
        <v>1628</v>
      </c>
      <c r="N24" s="27">
        <f t="shared" si="1"/>
        <v>1157</v>
      </c>
      <c r="O24" s="42"/>
    </row>
    <row r="25" spans="1:15" customFormat="1" ht="14.4" customHeight="1" x14ac:dyDescent="0.3">
      <c r="A25" s="149" t="s">
        <v>84</v>
      </c>
      <c r="B25" s="161">
        <f>COUNTA(C25:C33)</f>
        <v>9</v>
      </c>
      <c r="C25" s="20" t="s">
        <v>12</v>
      </c>
      <c r="D25" s="21" t="s">
        <v>13</v>
      </c>
      <c r="E25" s="22">
        <v>45748.8125</v>
      </c>
      <c r="F25" s="22">
        <v>45751.010416666664</v>
      </c>
      <c r="G25" s="23">
        <v>196</v>
      </c>
      <c r="H25" s="23">
        <v>291</v>
      </c>
      <c r="I25" s="23">
        <v>1</v>
      </c>
      <c r="J25" s="23">
        <v>1</v>
      </c>
      <c r="K25" s="23">
        <v>216</v>
      </c>
      <c r="L25" s="23">
        <v>227</v>
      </c>
      <c r="M25" s="23">
        <f t="shared" si="0"/>
        <v>1451</v>
      </c>
      <c r="N25" s="23">
        <f t="shared" si="1"/>
        <v>932</v>
      </c>
      <c r="O25" s="43">
        <f>SUM(M25:M33)</f>
        <v>11218</v>
      </c>
    </row>
    <row r="26" spans="1:15" customFormat="1" x14ac:dyDescent="0.3">
      <c r="A26" s="150"/>
      <c r="B26" s="162"/>
      <c r="C26" s="12" t="s">
        <v>7</v>
      </c>
      <c r="D26" s="13" t="s">
        <v>5</v>
      </c>
      <c r="E26" s="14">
        <v>45751.5</v>
      </c>
      <c r="F26" s="14">
        <v>45754.768055555556</v>
      </c>
      <c r="G26" s="15">
        <v>210</v>
      </c>
      <c r="H26" s="15">
        <v>225</v>
      </c>
      <c r="I26" s="15">
        <v>9</v>
      </c>
      <c r="J26" s="15">
        <v>22</v>
      </c>
      <c r="K26" s="15">
        <v>379</v>
      </c>
      <c r="L26" s="15">
        <v>181</v>
      </c>
      <c r="M26" s="15">
        <f t="shared" si="0"/>
        <v>1454</v>
      </c>
      <c r="N26" s="15">
        <f t="shared" si="1"/>
        <v>1026</v>
      </c>
      <c r="O26" s="40"/>
    </row>
    <row r="27" spans="1:15" x14ac:dyDescent="0.3">
      <c r="A27" s="150"/>
      <c r="B27" s="162"/>
      <c r="C27" s="12" t="s">
        <v>17</v>
      </c>
      <c r="D27" s="13" t="s">
        <v>2</v>
      </c>
      <c r="E27" s="14">
        <v>45754.951388888891</v>
      </c>
      <c r="F27" s="14">
        <v>45758.074999999997</v>
      </c>
      <c r="G27" s="15">
        <v>269</v>
      </c>
      <c r="H27" s="15">
        <v>142</v>
      </c>
      <c r="I27" s="15">
        <v>155</v>
      </c>
      <c r="J27" s="15">
        <v>98</v>
      </c>
      <c r="K27" s="15">
        <v>167</v>
      </c>
      <c r="L27" s="15">
        <v>202</v>
      </c>
      <c r="M27" s="15">
        <f t="shared" si="0"/>
        <v>1475</v>
      </c>
      <c r="N27" s="15">
        <f t="shared" si="1"/>
        <v>1033</v>
      </c>
      <c r="O27" s="40"/>
    </row>
    <row r="28" spans="1:15" customFormat="1" x14ac:dyDescent="0.3">
      <c r="A28" s="150"/>
      <c r="B28" s="162"/>
      <c r="C28" s="12" t="s">
        <v>18</v>
      </c>
      <c r="D28" s="13" t="s">
        <v>9</v>
      </c>
      <c r="E28" s="14">
        <v>45757.770833333336</v>
      </c>
      <c r="F28" s="14">
        <v>45760.802083333336</v>
      </c>
      <c r="G28" s="15">
        <v>383</v>
      </c>
      <c r="H28" s="15">
        <v>225</v>
      </c>
      <c r="I28" s="15">
        <v>12</v>
      </c>
      <c r="J28" s="15">
        <v>11</v>
      </c>
      <c r="K28" s="15">
        <v>410</v>
      </c>
      <c r="L28" s="15">
        <v>294</v>
      </c>
      <c r="M28" s="15">
        <f t="shared" si="0"/>
        <v>1865</v>
      </c>
      <c r="N28" s="15">
        <f t="shared" si="1"/>
        <v>1335</v>
      </c>
      <c r="O28" s="40"/>
    </row>
    <row r="29" spans="1:15" customFormat="1" x14ac:dyDescent="0.3">
      <c r="A29" s="150"/>
      <c r="B29" s="162"/>
      <c r="C29" s="12" t="s">
        <v>14</v>
      </c>
      <c r="D29" s="13" t="s">
        <v>9</v>
      </c>
      <c r="E29" s="14">
        <v>45762.75</v>
      </c>
      <c r="F29" s="14">
        <v>45764.65</v>
      </c>
      <c r="G29" s="15">
        <v>259</v>
      </c>
      <c r="H29" s="15">
        <v>252</v>
      </c>
      <c r="I29" s="15">
        <v>2</v>
      </c>
      <c r="J29" s="15">
        <v>5</v>
      </c>
      <c r="K29" s="15">
        <v>146</v>
      </c>
      <c r="L29" s="15">
        <v>158</v>
      </c>
      <c r="M29" s="15">
        <f t="shared" si="0"/>
        <v>1237</v>
      </c>
      <c r="N29" s="15">
        <f t="shared" si="1"/>
        <v>822</v>
      </c>
      <c r="O29" s="40"/>
    </row>
    <row r="30" spans="1:15" customFormat="1" x14ac:dyDescent="0.3">
      <c r="A30" s="150"/>
      <c r="B30" s="162"/>
      <c r="C30" s="12" t="s">
        <v>7</v>
      </c>
      <c r="D30" s="13" t="s">
        <v>5</v>
      </c>
      <c r="E30" s="14">
        <v>45766.954861111109</v>
      </c>
      <c r="F30" s="14">
        <v>45769.840277777781</v>
      </c>
      <c r="G30" s="15">
        <v>298</v>
      </c>
      <c r="H30" s="15">
        <v>86</v>
      </c>
      <c r="I30" s="15">
        <v>3</v>
      </c>
      <c r="J30" s="15">
        <v>16</v>
      </c>
      <c r="K30" s="15">
        <v>203</v>
      </c>
      <c r="L30" s="15">
        <v>170</v>
      </c>
      <c r="M30" s="15">
        <f t="shared" si="0"/>
        <v>1048</v>
      </c>
      <c r="N30" s="15">
        <f t="shared" si="1"/>
        <v>776</v>
      </c>
      <c r="O30" s="40"/>
    </row>
    <row r="31" spans="1:15" customFormat="1" x14ac:dyDescent="0.3">
      <c r="A31" s="150"/>
      <c r="B31" s="162"/>
      <c r="C31" s="12" t="s">
        <v>16</v>
      </c>
      <c r="D31" s="13" t="s">
        <v>2</v>
      </c>
      <c r="E31" s="14">
        <v>45769.940972222219</v>
      </c>
      <c r="F31" s="14">
        <v>45772.354166666664</v>
      </c>
      <c r="G31" s="15">
        <v>141</v>
      </c>
      <c r="H31" s="15">
        <v>267</v>
      </c>
      <c r="I31" s="15">
        <v>19</v>
      </c>
      <c r="J31" s="15">
        <v>95</v>
      </c>
      <c r="K31" s="15">
        <v>2</v>
      </c>
      <c r="L31" s="15">
        <v>65</v>
      </c>
      <c r="M31" s="15">
        <f t="shared" si="0"/>
        <v>1016</v>
      </c>
      <c r="N31" s="15">
        <f t="shared" si="1"/>
        <v>589</v>
      </c>
      <c r="O31" s="40"/>
    </row>
    <row r="32" spans="1:15" customFormat="1" x14ac:dyDescent="0.3">
      <c r="A32" s="151"/>
      <c r="B32" s="163"/>
      <c r="C32" s="28" t="s">
        <v>19</v>
      </c>
      <c r="D32" s="29" t="s">
        <v>5</v>
      </c>
      <c r="E32" s="30">
        <v>45772.399305555555</v>
      </c>
      <c r="F32" s="30">
        <v>45774.368055555555</v>
      </c>
      <c r="G32" s="31">
        <v>150</v>
      </c>
      <c r="H32" s="31">
        <v>220</v>
      </c>
      <c r="I32" s="31">
        <v>0</v>
      </c>
      <c r="J32" s="31">
        <v>2</v>
      </c>
      <c r="K32" s="31">
        <v>114</v>
      </c>
      <c r="L32" s="31">
        <v>36</v>
      </c>
      <c r="M32" s="31">
        <f t="shared" si="0"/>
        <v>780</v>
      </c>
      <c r="N32" s="31">
        <f t="shared" si="1"/>
        <v>522</v>
      </c>
      <c r="O32" s="41"/>
    </row>
    <row r="33" spans="1:15" customFormat="1" ht="15.65" thickBot="1" x14ac:dyDescent="0.35">
      <c r="A33" s="152"/>
      <c r="B33" s="164"/>
      <c r="C33" s="36" t="s">
        <v>20</v>
      </c>
      <c r="D33" s="37" t="s">
        <v>2</v>
      </c>
      <c r="E33" s="38">
        <v>45775.831944444442</v>
      </c>
      <c r="F33" s="38">
        <v>45778.371527777781</v>
      </c>
      <c r="G33" s="39">
        <v>249</v>
      </c>
      <c r="H33" s="39">
        <v>182</v>
      </c>
      <c r="I33" s="39">
        <v>58</v>
      </c>
      <c r="J33" s="39">
        <v>24</v>
      </c>
      <c r="K33" s="39">
        <v>157</v>
      </c>
      <c r="L33" s="39">
        <v>8</v>
      </c>
      <c r="M33" s="39">
        <f t="shared" si="0"/>
        <v>892</v>
      </c>
      <c r="N33" s="39">
        <f t="shared" si="1"/>
        <v>678</v>
      </c>
      <c r="O33" s="42"/>
    </row>
    <row r="34" spans="1:15" customFormat="1" ht="14.4" customHeight="1" x14ac:dyDescent="0.3">
      <c r="A34" s="153" t="s">
        <v>85</v>
      </c>
      <c r="B34" s="157">
        <f>COUNTA(C34:C42)</f>
        <v>9</v>
      </c>
      <c r="C34" s="32" t="s">
        <v>21</v>
      </c>
      <c r="D34" s="33" t="s">
        <v>2</v>
      </c>
      <c r="E34" s="34">
        <v>45779.416666666664</v>
      </c>
      <c r="F34" s="34">
        <v>45781.555555555555</v>
      </c>
      <c r="G34" s="35">
        <v>94</v>
      </c>
      <c r="H34" s="35">
        <v>384</v>
      </c>
      <c r="I34" s="35">
        <v>3</v>
      </c>
      <c r="J34" s="35">
        <v>102</v>
      </c>
      <c r="K34" s="35">
        <v>0</v>
      </c>
      <c r="L34" s="35">
        <v>0</v>
      </c>
      <c r="M34" s="35">
        <f t="shared" si="0"/>
        <v>1069</v>
      </c>
      <c r="N34" s="35">
        <f t="shared" si="1"/>
        <v>583</v>
      </c>
      <c r="O34" s="43">
        <f>SUM(M34:M42)</f>
        <v>10414</v>
      </c>
    </row>
    <row r="35" spans="1:15" customFormat="1" x14ac:dyDescent="0.3">
      <c r="A35" s="154"/>
      <c r="B35" s="158"/>
      <c r="C35" s="8" t="s">
        <v>7</v>
      </c>
      <c r="D35" s="9" t="s">
        <v>5</v>
      </c>
      <c r="E35" s="10">
        <v>45781.631944444445</v>
      </c>
      <c r="F35" s="10">
        <v>45784.559027777781</v>
      </c>
      <c r="G35" s="11">
        <v>278</v>
      </c>
      <c r="H35" s="11">
        <v>135</v>
      </c>
      <c r="I35" s="11">
        <v>6</v>
      </c>
      <c r="J35" s="11">
        <v>43</v>
      </c>
      <c r="K35" s="11">
        <v>208</v>
      </c>
      <c r="L35" s="11">
        <v>150</v>
      </c>
      <c r="M35" s="11">
        <f t="shared" si="0"/>
        <v>1148</v>
      </c>
      <c r="N35" s="11">
        <f t="shared" si="1"/>
        <v>820</v>
      </c>
      <c r="O35" s="40"/>
    </row>
    <row r="36" spans="1:15" customFormat="1" x14ac:dyDescent="0.3">
      <c r="A36" s="154"/>
      <c r="B36" s="158"/>
      <c r="C36" s="8" t="s">
        <v>17</v>
      </c>
      <c r="D36" s="9" t="s">
        <v>2</v>
      </c>
      <c r="E36" s="10">
        <v>45783.40625</v>
      </c>
      <c r="F36" s="10">
        <v>45786.48333333333</v>
      </c>
      <c r="G36" s="11">
        <v>108</v>
      </c>
      <c r="H36" s="11">
        <v>355</v>
      </c>
      <c r="I36" s="11">
        <v>7</v>
      </c>
      <c r="J36" s="11">
        <v>81</v>
      </c>
      <c r="K36" s="11">
        <v>102</v>
      </c>
      <c r="L36" s="11">
        <v>84</v>
      </c>
      <c r="M36" s="11">
        <f t="shared" si="0"/>
        <v>1257</v>
      </c>
      <c r="N36" s="11">
        <f t="shared" si="1"/>
        <v>737</v>
      </c>
      <c r="O36" s="40"/>
    </row>
    <row r="37" spans="1:15" customFormat="1" x14ac:dyDescent="0.3">
      <c r="A37" s="154"/>
      <c r="B37" s="158"/>
      <c r="C37" s="8" t="s">
        <v>22</v>
      </c>
      <c r="D37" s="9" t="s">
        <v>13</v>
      </c>
      <c r="E37" s="10">
        <v>45785.510416666664</v>
      </c>
      <c r="F37" s="10">
        <v>45789.763888888891</v>
      </c>
      <c r="G37" s="11">
        <v>151</v>
      </c>
      <c r="H37" s="11">
        <v>295</v>
      </c>
      <c r="I37" s="11">
        <v>50</v>
      </c>
      <c r="J37" s="11">
        <v>12</v>
      </c>
      <c r="K37" s="11">
        <v>139</v>
      </c>
      <c r="L37" s="11">
        <v>269</v>
      </c>
      <c r="M37" s="11">
        <f t="shared" si="0"/>
        <v>1492</v>
      </c>
      <c r="N37" s="11">
        <f t="shared" si="1"/>
        <v>916</v>
      </c>
      <c r="O37" s="40"/>
    </row>
    <row r="38" spans="1:15" customFormat="1" x14ac:dyDescent="0.3">
      <c r="A38" s="154"/>
      <c r="B38" s="158"/>
      <c r="C38" s="8" t="s">
        <v>19</v>
      </c>
      <c r="D38" s="9" t="s">
        <v>5</v>
      </c>
      <c r="E38" s="10">
        <v>45789.826388888891</v>
      </c>
      <c r="F38" s="10">
        <v>45791.777777777781</v>
      </c>
      <c r="G38" s="11">
        <v>246</v>
      </c>
      <c r="H38" s="11">
        <v>132</v>
      </c>
      <c r="I38" s="11">
        <v>3</v>
      </c>
      <c r="J38" s="11">
        <v>30</v>
      </c>
      <c r="K38" s="11">
        <v>157</v>
      </c>
      <c r="L38" s="11">
        <v>33</v>
      </c>
      <c r="M38" s="11">
        <f t="shared" si="0"/>
        <v>796</v>
      </c>
      <c r="N38" s="11">
        <f t="shared" si="1"/>
        <v>601</v>
      </c>
      <c r="O38" s="40"/>
    </row>
    <row r="39" spans="1:15" customFormat="1" x14ac:dyDescent="0.3">
      <c r="A39" s="154"/>
      <c r="B39" s="158"/>
      <c r="C39" s="8" t="s">
        <v>16</v>
      </c>
      <c r="D39" s="9" t="s">
        <v>2</v>
      </c>
      <c r="E39" s="10">
        <v>45792.4</v>
      </c>
      <c r="F39" s="10">
        <v>45795.476388888892</v>
      </c>
      <c r="G39" s="11">
        <v>117</v>
      </c>
      <c r="H39" s="11">
        <v>187</v>
      </c>
      <c r="I39" s="11">
        <v>65</v>
      </c>
      <c r="J39" s="11">
        <v>123</v>
      </c>
      <c r="K39" s="11">
        <v>83</v>
      </c>
      <c r="L39" s="11">
        <v>55</v>
      </c>
      <c r="M39" s="11">
        <f t="shared" si="0"/>
        <v>995</v>
      </c>
      <c r="N39" s="11">
        <f t="shared" si="1"/>
        <v>630</v>
      </c>
      <c r="O39" s="40"/>
    </row>
    <row r="40" spans="1:15" customFormat="1" x14ac:dyDescent="0.3">
      <c r="A40" s="154"/>
      <c r="B40" s="158"/>
      <c r="C40" s="8" t="s">
        <v>14</v>
      </c>
      <c r="D40" s="9" t="s">
        <v>9</v>
      </c>
      <c r="E40" s="10">
        <v>45794.354166666664</v>
      </c>
      <c r="F40" s="10">
        <v>45798.395833333336</v>
      </c>
      <c r="G40" s="11">
        <v>200</v>
      </c>
      <c r="H40" s="11">
        <v>217</v>
      </c>
      <c r="I40" s="11">
        <v>106</v>
      </c>
      <c r="J40" s="11">
        <v>38</v>
      </c>
      <c r="K40" s="11">
        <v>43</v>
      </c>
      <c r="L40" s="11">
        <v>317</v>
      </c>
      <c r="M40" s="11">
        <f t="shared" si="0"/>
        <v>1493</v>
      </c>
      <c r="N40" s="11">
        <f t="shared" si="1"/>
        <v>921</v>
      </c>
      <c r="O40" s="40"/>
    </row>
    <row r="41" spans="1:15" customFormat="1" x14ac:dyDescent="0.3">
      <c r="A41" s="155"/>
      <c r="B41" s="159"/>
      <c r="C41" s="16" t="s">
        <v>7</v>
      </c>
      <c r="D41" s="17" t="s">
        <v>5</v>
      </c>
      <c r="E41" s="18">
        <v>45799.570833333331</v>
      </c>
      <c r="F41" s="18">
        <v>45802.791666666664</v>
      </c>
      <c r="G41" s="19">
        <v>245</v>
      </c>
      <c r="H41" s="19">
        <v>119</v>
      </c>
      <c r="I41" s="19">
        <v>0</v>
      </c>
      <c r="J41" s="19">
        <v>44</v>
      </c>
      <c r="K41" s="19">
        <v>343</v>
      </c>
      <c r="L41" s="19">
        <v>173</v>
      </c>
      <c r="M41" s="19">
        <f t="shared" si="0"/>
        <v>1260</v>
      </c>
      <c r="N41" s="19">
        <f t="shared" si="1"/>
        <v>924</v>
      </c>
      <c r="O41" s="41"/>
    </row>
    <row r="42" spans="1:15" ht="15.65" thickBot="1" x14ac:dyDescent="0.35">
      <c r="A42" s="156"/>
      <c r="B42" s="160"/>
      <c r="C42" s="24" t="s">
        <v>23</v>
      </c>
      <c r="D42" s="25" t="s">
        <v>2</v>
      </c>
      <c r="E42" s="26">
        <v>45805.416666666664</v>
      </c>
      <c r="F42" s="26">
        <v>45809.027777777781</v>
      </c>
      <c r="G42" s="27">
        <v>250</v>
      </c>
      <c r="H42" s="27">
        <v>80</v>
      </c>
      <c r="I42" s="27">
        <v>89</v>
      </c>
      <c r="J42" s="27">
        <v>189</v>
      </c>
      <c r="K42" s="27">
        <v>13</v>
      </c>
      <c r="L42" s="27">
        <v>7</v>
      </c>
      <c r="M42" s="27">
        <f t="shared" si="0"/>
        <v>904</v>
      </c>
      <c r="N42" s="27">
        <f t="shared" si="1"/>
        <v>628</v>
      </c>
      <c r="O42" s="42"/>
    </row>
    <row r="43" spans="1:15" customFormat="1" ht="14.4" customHeight="1" x14ac:dyDescent="0.3">
      <c r="A43" s="149" t="s">
        <v>86</v>
      </c>
      <c r="B43" s="161">
        <f>COUNTA(C43:C52)</f>
        <v>10</v>
      </c>
      <c r="C43" s="20" t="s">
        <v>7</v>
      </c>
      <c r="D43" s="21" t="s">
        <v>5</v>
      </c>
      <c r="E43" s="22">
        <v>45813.783333333333</v>
      </c>
      <c r="F43" s="22">
        <v>45820.854166666664</v>
      </c>
      <c r="G43" s="23">
        <v>111</v>
      </c>
      <c r="H43" s="23">
        <v>154</v>
      </c>
      <c r="I43" s="23">
        <v>0</v>
      </c>
      <c r="J43" s="23">
        <v>9</v>
      </c>
      <c r="K43" s="23">
        <v>118</v>
      </c>
      <c r="L43" s="23">
        <v>64</v>
      </c>
      <c r="M43" s="23">
        <f t="shared" si="0"/>
        <v>683</v>
      </c>
      <c r="N43" s="23">
        <f t="shared" si="1"/>
        <v>456</v>
      </c>
      <c r="O43" s="43">
        <f>SUM(M43:M52)</f>
        <v>11653</v>
      </c>
    </row>
    <row r="44" spans="1:15" customFormat="1" x14ac:dyDescent="0.3">
      <c r="A44" s="150"/>
      <c r="B44" s="162"/>
      <c r="C44" s="12" t="s">
        <v>24</v>
      </c>
      <c r="D44" s="13" t="s">
        <v>5</v>
      </c>
      <c r="E44" s="14">
        <v>45816.232638888891</v>
      </c>
      <c r="F44" s="14">
        <v>45819.618055555555</v>
      </c>
      <c r="G44" s="15">
        <v>234</v>
      </c>
      <c r="H44" s="15">
        <v>75</v>
      </c>
      <c r="I44" s="15">
        <v>10</v>
      </c>
      <c r="J44" s="15">
        <v>68</v>
      </c>
      <c r="K44" s="15">
        <v>225</v>
      </c>
      <c r="L44" s="15">
        <v>78</v>
      </c>
      <c r="M44" s="15">
        <f t="shared" si="0"/>
        <v>911</v>
      </c>
      <c r="N44" s="15">
        <f t="shared" si="1"/>
        <v>690</v>
      </c>
      <c r="O44" s="40"/>
    </row>
    <row r="45" spans="1:15" x14ac:dyDescent="0.3">
      <c r="A45" s="150"/>
      <c r="B45" s="162"/>
      <c r="C45" s="12" t="s">
        <v>17</v>
      </c>
      <c r="D45" s="13" t="s">
        <v>2</v>
      </c>
      <c r="E45" s="14">
        <v>45820.916666666664</v>
      </c>
      <c r="F45" s="14">
        <v>45824.004166666666</v>
      </c>
      <c r="G45" s="15">
        <v>200</v>
      </c>
      <c r="H45" s="15">
        <v>269</v>
      </c>
      <c r="I45" s="15">
        <v>91</v>
      </c>
      <c r="J45" s="15">
        <v>235</v>
      </c>
      <c r="K45" s="15">
        <v>0</v>
      </c>
      <c r="L45" s="15">
        <v>58</v>
      </c>
      <c r="M45" s="15">
        <f t="shared" si="0"/>
        <v>1415</v>
      </c>
      <c r="N45" s="15">
        <f t="shared" si="1"/>
        <v>853</v>
      </c>
      <c r="O45" s="40"/>
    </row>
    <row r="46" spans="1:15" customFormat="1" x14ac:dyDescent="0.3">
      <c r="A46" s="150"/>
      <c r="B46" s="162"/>
      <c r="C46" s="12" t="s">
        <v>25</v>
      </c>
      <c r="D46" s="13" t="s">
        <v>9</v>
      </c>
      <c r="E46" s="14">
        <v>45824.05</v>
      </c>
      <c r="F46" s="14">
        <v>45827.775000000001</v>
      </c>
      <c r="G46" s="15">
        <v>105</v>
      </c>
      <c r="H46" s="15">
        <v>182</v>
      </c>
      <c r="I46" s="15">
        <v>75</v>
      </c>
      <c r="J46" s="15">
        <v>14</v>
      </c>
      <c r="K46" s="15">
        <v>509</v>
      </c>
      <c r="L46" s="15">
        <v>290</v>
      </c>
      <c r="M46" s="15">
        <f t="shared" si="0"/>
        <v>1661</v>
      </c>
      <c r="N46" s="15">
        <f t="shared" si="1"/>
        <v>1175</v>
      </c>
      <c r="O46" s="40"/>
    </row>
    <row r="47" spans="1:15" x14ac:dyDescent="0.3">
      <c r="A47" s="150"/>
      <c r="B47" s="162"/>
      <c r="C47" s="12" t="s">
        <v>16</v>
      </c>
      <c r="D47" s="13" t="s">
        <v>2</v>
      </c>
      <c r="E47" s="14">
        <v>45827.25</v>
      </c>
      <c r="F47" s="14">
        <v>45830.583333333336</v>
      </c>
      <c r="G47" s="15">
        <v>131</v>
      </c>
      <c r="H47" s="15">
        <v>279</v>
      </c>
      <c r="I47" s="15">
        <v>29</v>
      </c>
      <c r="J47" s="15">
        <v>34</v>
      </c>
      <c r="K47" s="15">
        <v>134</v>
      </c>
      <c r="L47" s="15">
        <v>106</v>
      </c>
      <c r="M47" s="15">
        <f t="shared" si="0"/>
        <v>1132</v>
      </c>
      <c r="N47" s="15">
        <f t="shared" si="1"/>
        <v>713</v>
      </c>
      <c r="O47" s="40"/>
    </row>
    <row r="48" spans="1:15" customFormat="1" x14ac:dyDescent="0.3">
      <c r="A48" s="150"/>
      <c r="B48" s="162"/>
      <c r="C48" s="12" t="s">
        <v>22</v>
      </c>
      <c r="D48" s="13" t="s">
        <v>13</v>
      </c>
      <c r="E48" s="14">
        <v>45830.927083333336</v>
      </c>
      <c r="F48" s="14">
        <v>45833.087500000001</v>
      </c>
      <c r="G48" s="15">
        <v>28</v>
      </c>
      <c r="H48" s="15">
        <v>140</v>
      </c>
      <c r="I48" s="15">
        <v>1</v>
      </c>
      <c r="J48" s="15">
        <v>18</v>
      </c>
      <c r="K48" s="15">
        <v>200</v>
      </c>
      <c r="L48" s="15">
        <v>279</v>
      </c>
      <c r="M48" s="15">
        <f t="shared" si="0"/>
        <v>1103</v>
      </c>
      <c r="N48" s="15">
        <f t="shared" si="1"/>
        <v>666</v>
      </c>
      <c r="O48" s="40"/>
    </row>
    <row r="49" spans="1:15" customFormat="1" x14ac:dyDescent="0.3">
      <c r="A49" s="150"/>
      <c r="B49" s="162"/>
      <c r="C49" s="12" t="s">
        <v>19</v>
      </c>
      <c r="D49" s="13" t="s">
        <v>5</v>
      </c>
      <c r="E49" s="14">
        <v>45833.320833333331</v>
      </c>
      <c r="F49" s="14">
        <v>45835.513888888891</v>
      </c>
      <c r="G49" s="15">
        <v>70</v>
      </c>
      <c r="H49" s="15">
        <v>149</v>
      </c>
      <c r="I49" s="15">
        <v>35</v>
      </c>
      <c r="J49" s="15">
        <v>16</v>
      </c>
      <c r="K49" s="15">
        <v>212</v>
      </c>
      <c r="L49" s="15">
        <v>148</v>
      </c>
      <c r="M49" s="15">
        <f t="shared" si="0"/>
        <v>943</v>
      </c>
      <c r="N49" s="15">
        <f t="shared" si="1"/>
        <v>630</v>
      </c>
      <c r="O49" s="40"/>
    </row>
    <row r="50" spans="1:15" customFormat="1" x14ac:dyDescent="0.3">
      <c r="A50" s="150"/>
      <c r="B50" s="162"/>
      <c r="C50" s="12" t="s">
        <v>23</v>
      </c>
      <c r="D50" s="13" t="s">
        <v>2</v>
      </c>
      <c r="E50" s="14">
        <v>45834.345833333333</v>
      </c>
      <c r="F50" s="14">
        <v>45838.29583333333</v>
      </c>
      <c r="G50" s="15">
        <v>202</v>
      </c>
      <c r="H50" s="15">
        <v>146</v>
      </c>
      <c r="I50" s="15">
        <v>125</v>
      </c>
      <c r="J50" s="15">
        <v>84</v>
      </c>
      <c r="K50" s="15">
        <v>123</v>
      </c>
      <c r="L50" s="15">
        <v>158</v>
      </c>
      <c r="M50" s="15">
        <f>G50+H50*2+I50+J50*2+K50+L50*2</f>
        <v>1226</v>
      </c>
      <c r="N50" s="15">
        <f t="shared" si="1"/>
        <v>838</v>
      </c>
      <c r="O50" s="40"/>
    </row>
    <row r="51" spans="1:15" customFormat="1" x14ac:dyDescent="0.3">
      <c r="A51" s="151"/>
      <c r="B51" s="163"/>
      <c r="C51" s="28" t="s">
        <v>26</v>
      </c>
      <c r="D51" s="29" t="s">
        <v>2</v>
      </c>
      <c r="E51" s="30">
        <v>45835.881944444445</v>
      </c>
      <c r="F51" s="30">
        <v>45840.1</v>
      </c>
      <c r="G51" s="31">
        <v>157</v>
      </c>
      <c r="H51" s="31">
        <v>213</v>
      </c>
      <c r="I51" s="31">
        <v>2</v>
      </c>
      <c r="J51" s="31">
        <v>19</v>
      </c>
      <c r="K51" s="31">
        <v>285</v>
      </c>
      <c r="L51" s="31">
        <v>283</v>
      </c>
      <c r="M51" s="31">
        <f t="shared" si="0"/>
        <v>1474</v>
      </c>
      <c r="N51" s="31">
        <f t="shared" si="1"/>
        <v>959</v>
      </c>
      <c r="O51" s="41"/>
    </row>
    <row r="52" spans="1:15" customFormat="1" ht="15.65" thickBot="1" x14ac:dyDescent="0.35">
      <c r="A52" s="152"/>
      <c r="B52" s="164"/>
      <c r="C52" s="36" t="s">
        <v>14</v>
      </c>
      <c r="D52" s="37" t="s">
        <v>9</v>
      </c>
      <c r="E52" s="38">
        <v>45838.347222222219</v>
      </c>
      <c r="F52" s="38">
        <v>45841.54583333333</v>
      </c>
      <c r="G52" s="39">
        <v>160</v>
      </c>
      <c r="H52" s="39">
        <v>198</v>
      </c>
      <c r="I52" s="39">
        <v>77</v>
      </c>
      <c r="J52" s="39">
        <v>9</v>
      </c>
      <c r="K52" s="39">
        <v>78</v>
      </c>
      <c r="L52" s="39">
        <v>188</v>
      </c>
      <c r="M52" s="39">
        <f t="shared" si="0"/>
        <v>1105</v>
      </c>
      <c r="N52" s="39">
        <f t="shared" si="1"/>
        <v>710</v>
      </c>
      <c r="O52" s="42"/>
    </row>
    <row r="53" spans="1:15" customFormat="1" ht="14.4" customHeight="1" x14ac:dyDescent="0.3">
      <c r="A53" s="153" t="s">
        <v>87</v>
      </c>
      <c r="B53" s="157">
        <f>COUNTA(C53:C61)</f>
        <v>9</v>
      </c>
      <c r="C53" s="32" t="s">
        <v>24</v>
      </c>
      <c r="D53" s="33" t="s">
        <v>5</v>
      </c>
      <c r="E53" s="34">
        <v>45840.212500000001</v>
      </c>
      <c r="F53" s="34">
        <v>45842.659722222219</v>
      </c>
      <c r="G53" s="35">
        <v>244</v>
      </c>
      <c r="H53" s="35">
        <v>117</v>
      </c>
      <c r="I53" s="35">
        <v>20</v>
      </c>
      <c r="J53" s="35">
        <v>5</v>
      </c>
      <c r="K53" s="35">
        <v>81</v>
      </c>
      <c r="L53" s="35">
        <v>102</v>
      </c>
      <c r="M53" s="35">
        <f t="shared" si="0"/>
        <v>793</v>
      </c>
      <c r="N53" s="35">
        <f t="shared" si="1"/>
        <v>569</v>
      </c>
      <c r="O53" s="43">
        <f>SUM(M53:M61)</f>
        <v>8887</v>
      </c>
    </row>
    <row r="54" spans="1:15" customFormat="1" x14ac:dyDescent="0.3">
      <c r="A54" s="154"/>
      <c r="B54" s="158"/>
      <c r="C54" s="8" t="s">
        <v>17</v>
      </c>
      <c r="D54" s="9" t="s">
        <v>2</v>
      </c>
      <c r="E54" s="10">
        <v>45843.42083333333</v>
      </c>
      <c r="F54" s="10">
        <v>45847.315972222219</v>
      </c>
      <c r="G54" s="11">
        <v>173</v>
      </c>
      <c r="H54" s="11">
        <v>256</v>
      </c>
      <c r="I54" s="11">
        <v>100</v>
      </c>
      <c r="J54" s="11">
        <v>55</v>
      </c>
      <c r="K54" s="11">
        <v>191</v>
      </c>
      <c r="L54" s="11">
        <v>201</v>
      </c>
      <c r="M54" s="11">
        <f t="shared" si="0"/>
        <v>1488</v>
      </c>
      <c r="N54" s="11">
        <f t="shared" si="1"/>
        <v>976</v>
      </c>
      <c r="O54" s="40"/>
    </row>
    <row r="55" spans="1:15" customFormat="1" x14ac:dyDescent="0.3">
      <c r="A55" s="154"/>
      <c r="B55" s="158"/>
      <c r="C55" s="8" t="s">
        <v>19</v>
      </c>
      <c r="D55" s="9" t="s">
        <v>5</v>
      </c>
      <c r="E55" s="10">
        <v>45847.368055555555</v>
      </c>
      <c r="F55" s="10">
        <v>45849.020833333336</v>
      </c>
      <c r="G55" s="11">
        <v>83</v>
      </c>
      <c r="H55" s="11">
        <v>88</v>
      </c>
      <c r="I55" s="11">
        <v>13</v>
      </c>
      <c r="J55" s="11">
        <v>2</v>
      </c>
      <c r="K55" s="11">
        <v>120</v>
      </c>
      <c r="L55" s="11">
        <v>93</v>
      </c>
      <c r="M55" s="11">
        <f t="shared" si="0"/>
        <v>582</v>
      </c>
      <c r="N55" s="11">
        <f t="shared" si="1"/>
        <v>399</v>
      </c>
      <c r="O55" s="40"/>
    </row>
    <row r="56" spans="1:15" customFormat="1" x14ac:dyDescent="0.3">
      <c r="A56" s="154"/>
      <c r="B56" s="158"/>
      <c r="C56" s="8" t="s">
        <v>22</v>
      </c>
      <c r="D56" s="9" t="s">
        <v>13</v>
      </c>
      <c r="E56" s="10">
        <v>45852.998611111114</v>
      </c>
      <c r="F56" s="10">
        <v>45854.972222222219</v>
      </c>
      <c r="G56" s="11">
        <v>102</v>
      </c>
      <c r="H56" s="11">
        <v>202</v>
      </c>
      <c r="I56" s="11">
        <v>2</v>
      </c>
      <c r="J56" s="11">
        <v>4</v>
      </c>
      <c r="K56" s="11">
        <v>32</v>
      </c>
      <c r="L56" s="11">
        <v>132</v>
      </c>
      <c r="M56" s="11">
        <f t="shared" si="0"/>
        <v>812</v>
      </c>
      <c r="N56" s="11">
        <f t="shared" si="1"/>
        <v>474</v>
      </c>
      <c r="O56" s="40"/>
    </row>
    <row r="57" spans="1:15" customFormat="1" x14ac:dyDescent="0.3">
      <c r="A57" s="154"/>
      <c r="B57" s="158"/>
      <c r="C57" s="8" t="s">
        <v>16</v>
      </c>
      <c r="D57" s="9" t="s">
        <v>2</v>
      </c>
      <c r="E57" s="10">
        <v>45853.864583333336</v>
      </c>
      <c r="F57" s="10">
        <v>45857.670138888891</v>
      </c>
      <c r="G57" s="11">
        <v>183</v>
      </c>
      <c r="H57" s="11">
        <v>245</v>
      </c>
      <c r="I57" s="11">
        <v>58</v>
      </c>
      <c r="J57" s="11">
        <v>38</v>
      </c>
      <c r="K57" s="11">
        <v>28</v>
      </c>
      <c r="L57" s="11">
        <v>57</v>
      </c>
      <c r="M57" s="11">
        <f t="shared" si="0"/>
        <v>949</v>
      </c>
      <c r="N57" s="11">
        <f t="shared" si="1"/>
        <v>609</v>
      </c>
      <c r="O57" s="40"/>
    </row>
    <row r="58" spans="1:15" customFormat="1" x14ac:dyDescent="0.3">
      <c r="A58" s="154"/>
      <c r="B58" s="158"/>
      <c r="C58" s="8" t="s">
        <v>24</v>
      </c>
      <c r="D58" s="9" t="s">
        <v>5</v>
      </c>
      <c r="E58" s="10">
        <v>45855.097222222219</v>
      </c>
      <c r="F58" s="10">
        <v>45857.445833333331</v>
      </c>
      <c r="G58" s="11">
        <v>62</v>
      </c>
      <c r="H58" s="11">
        <v>80</v>
      </c>
      <c r="I58" s="11">
        <v>11</v>
      </c>
      <c r="J58" s="11">
        <v>10</v>
      </c>
      <c r="K58" s="11">
        <v>170</v>
      </c>
      <c r="L58" s="11">
        <v>111</v>
      </c>
      <c r="M58" s="11">
        <f t="shared" si="0"/>
        <v>645</v>
      </c>
      <c r="N58" s="11">
        <f t="shared" si="1"/>
        <v>444</v>
      </c>
      <c r="O58" s="40"/>
    </row>
    <row r="59" spans="1:15" customFormat="1" x14ac:dyDescent="0.3">
      <c r="A59" s="154"/>
      <c r="B59" s="158"/>
      <c r="C59" s="8" t="s">
        <v>23</v>
      </c>
      <c r="D59" s="9" t="s">
        <v>2</v>
      </c>
      <c r="E59" s="10">
        <v>45862.861111111109</v>
      </c>
      <c r="F59" s="10">
        <v>45866.369444444441</v>
      </c>
      <c r="G59" s="11">
        <v>188</v>
      </c>
      <c r="H59" s="11">
        <v>151</v>
      </c>
      <c r="I59" s="11">
        <v>58</v>
      </c>
      <c r="J59" s="11">
        <v>76</v>
      </c>
      <c r="K59" s="11">
        <v>128</v>
      </c>
      <c r="L59" s="11">
        <v>192</v>
      </c>
      <c r="M59" s="11">
        <f t="shared" si="0"/>
        <v>1212</v>
      </c>
      <c r="N59" s="11">
        <f t="shared" si="1"/>
        <v>793</v>
      </c>
      <c r="O59" s="40"/>
    </row>
    <row r="60" spans="1:15" customFormat="1" x14ac:dyDescent="0.3">
      <c r="A60" s="155"/>
      <c r="B60" s="159"/>
      <c r="C60" s="16" t="s">
        <v>51</v>
      </c>
      <c r="D60" s="17" t="s">
        <v>9</v>
      </c>
      <c r="E60" s="18">
        <v>45866.465277777781</v>
      </c>
      <c r="F60" s="18">
        <v>45869.92083333333</v>
      </c>
      <c r="G60" s="19">
        <v>179</v>
      </c>
      <c r="H60" s="19">
        <v>147</v>
      </c>
      <c r="I60" s="19">
        <v>53</v>
      </c>
      <c r="J60" s="19">
        <v>12</v>
      </c>
      <c r="K60" s="19">
        <v>67</v>
      </c>
      <c r="L60" s="19">
        <v>144</v>
      </c>
      <c r="M60" s="19">
        <f t="shared" si="0"/>
        <v>905</v>
      </c>
      <c r="N60" s="19">
        <f t="shared" si="1"/>
        <v>602</v>
      </c>
      <c r="O60" s="41"/>
    </row>
    <row r="61" spans="1:15" customFormat="1" ht="15.65" thickBot="1" x14ac:dyDescent="0.35">
      <c r="A61" s="156"/>
      <c r="B61" s="160"/>
      <c r="C61" s="24" t="s">
        <v>17</v>
      </c>
      <c r="D61" s="25" t="s">
        <v>2</v>
      </c>
      <c r="E61" s="26">
        <v>45866.76666666667</v>
      </c>
      <c r="F61" s="26">
        <v>45870.951388888891</v>
      </c>
      <c r="G61" s="27">
        <v>219</v>
      </c>
      <c r="H61" s="27">
        <v>229</v>
      </c>
      <c r="I61" s="27">
        <v>17</v>
      </c>
      <c r="J61" s="27">
        <v>111</v>
      </c>
      <c r="K61" s="27">
        <v>251</v>
      </c>
      <c r="L61" s="27">
        <v>167</v>
      </c>
      <c r="M61" s="27">
        <f t="shared" si="0"/>
        <v>1501</v>
      </c>
      <c r="N61" s="27">
        <f t="shared" si="1"/>
        <v>994</v>
      </c>
      <c r="O61" s="42"/>
    </row>
    <row r="62" spans="1:15" customFormat="1" ht="14.4" customHeight="1" x14ac:dyDescent="0.3">
      <c r="A62" s="149" t="s">
        <v>88</v>
      </c>
      <c r="B62" s="161">
        <f>COUNTA(C62:C69)</f>
        <v>8</v>
      </c>
      <c r="C62" s="20" t="s">
        <v>19</v>
      </c>
      <c r="D62" s="21" t="s">
        <v>5</v>
      </c>
      <c r="E62" s="22">
        <v>45873.618055555555</v>
      </c>
      <c r="F62" s="22">
        <v>45875.34375</v>
      </c>
      <c r="G62" s="23">
        <v>83</v>
      </c>
      <c r="H62" s="23">
        <v>121</v>
      </c>
      <c r="I62" s="23">
        <v>6</v>
      </c>
      <c r="J62" s="23">
        <v>20</v>
      </c>
      <c r="K62" s="23">
        <v>0</v>
      </c>
      <c r="L62" s="23">
        <v>16</v>
      </c>
      <c r="M62" s="23">
        <f t="shared" si="0"/>
        <v>403</v>
      </c>
      <c r="N62" s="23">
        <f t="shared" si="1"/>
        <v>246</v>
      </c>
      <c r="O62" s="43">
        <f>SUM(M62:M69)</f>
        <v>8585</v>
      </c>
    </row>
    <row r="63" spans="1:15" customFormat="1" x14ac:dyDescent="0.3">
      <c r="A63" s="150"/>
      <c r="B63" s="162"/>
      <c r="C63" s="12" t="s">
        <v>22</v>
      </c>
      <c r="D63" s="13" t="s">
        <v>13</v>
      </c>
      <c r="E63" s="14">
        <v>45870.982638888891</v>
      </c>
      <c r="F63" s="14">
        <v>45872.508333333331</v>
      </c>
      <c r="G63" s="15">
        <v>29</v>
      </c>
      <c r="H63" s="15">
        <v>116</v>
      </c>
      <c r="I63" s="15">
        <v>4</v>
      </c>
      <c r="J63" s="15">
        <v>8</v>
      </c>
      <c r="K63" s="15">
        <v>84</v>
      </c>
      <c r="L63" s="15">
        <v>136</v>
      </c>
      <c r="M63" s="15">
        <f t="shared" si="0"/>
        <v>637</v>
      </c>
      <c r="N63" s="15">
        <f t="shared" si="1"/>
        <v>377</v>
      </c>
      <c r="O63" s="40"/>
    </row>
    <row r="64" spans="1:15" customFormat="1" x14ac:dyDescent="0.3">
      <c r="A64" s="150"/>
      <c r="B64" s="162"/>
      <c r="C64" s="12" t="s">
        <v>16</v>
      </c>
      <c r="D64" s="13" t="s">
        <v>2</v>
      </c>
      <c r="E64" s="14">
        <v>45879.511805555558</v>
      </c>
      <c r="F64" s="14">
        <v>45883.125</v>
      </c>
      <c r="G64" s="15">
        <v>212</v>
      </c>
      <c r="H64" s="15">
        <v>220</v>
      </c>
      <c r="I64" s="15">
        <v>44</v>
      </c>
      <c r="J64" s="15">
        <v>154</v>
      </c>
      <c r="K64" s="15">
        <v>102</v>
      </c>
      <c r="L64" s="15">
        <v>205</v>
      </c>
      <c r="M64" s="15">
        <f>G64+H64*2+I64+J64*2+K64+L64*2</f>
        <v>1516</v>
      </c>
      <c r="N64" s="15">
        <f t="shared" ref="N64:N70" si="2">SUM(G64:L64)</f>
        <v>937</v>
      </c>
      <c r="O64" s="40"/>
    </row>
    <row r="65" spans="1:15" customFormat="1" x14ac:dyDescent="0.3">
      <c r="A65" s="150"/>
      <c r="B65" s="162"/>
      <c r="C65" s="12" t="s">
        <v>23</v>
      </c>
      <c r="D65" s="13" t="s">
        <v>2</v>
      </c>
      <c r="E65" s="14">
        <v>45884.446527777778</v>
      </c>
      <c r="F65" s="14">
        <v>45888.638888888891</v>
      </c>
      <c r="G65" s="15">
        <v>177</v>
      </c>
      <c r="H65" s="15">
        <v>217</v>
      </c>
      <c r="I65" s="15">
        <v>65</v>
      </c>
      <c r="J65" s="15">
        <v>108</v>
      </c>
      <c r="K65" s="15">
        <v>132</v>
      </c>
      <c r="L65" s="15">
        <v>146</v>
      </c>
      <c r="M65" s="15">
        <f>G65+H65*2+I65+J65*2+K65+L65*2</f>
        <v>1316</v>
      </c>
      <c r="N65" s="15">
        <f t="shared" si="2"/>
        <v>845</v>
      </c>
      <c r="O65" s="40"/>
    </row>
    <row r="66" spans="1:15" customFormat="1" x14ac:dyDescent="0.3">
      <c r="A66" s="150"/>
      <c r="B66" s="162"/>
      <c r="C66" s="12" t="s">
        <v>21</v>
      </c>
      <c r="D66" s="13" t="s">
        <v>2</v>
      </c>
      <c r="E66" s="14">
        <v>45889.71875</v>
      </c>
      <c r="F66" s="14">
        <v>45893.429166666669</v>
      </c>
      <c r="G66" s="15">
        <v>108</v>
      </c>
      <c r="H66" s="15">
        <v>112</v>
      </c>
      <c r="I66" s="15">
        <v>0</v>
      </c>
      <c r="J66" s="15">
        <v>0</v>
      </c>
      <c r="K66" s="15">
        <v>379</v>
      </c>
      <c r="L66" s="15">
        <v>172</v>
      </c>
      <c r="M66" s="15">
        <f t="shared" si="0"/>
        <v>1055</v>
      </c>
      <c r="N66" s="15">
        <f t="shared" si="2"/>
        <v>771</v>
      </c>
      <c r="O66" s="40"/>
    </row>
    <row r="67" spans="1:15" customFormat="1" x14ac:dyDescent="0.3">
      <c r="A67" s="150"/>
      <c r="B67" s="162"/>
      <c r="C67" s="12" t="s">
        <v>14</v>
      </c>
      <c r="D67" s="13" t="s">
        <v>9</v>
      </c>
      <c r="E67" s="14">
        <v>45891.958333333336</v>
      </c>
      <c r="F67" s="14">
        <v>45896.270833333336</v>
      </c>
      <c r="G67" s="15">
        <v>219</v>
      </c>
      <c r="H67" s="15">
        <v>257</v>
      </c>
      <c r="I67" s="15">
        <v>42</v>
      </c>
      <c r="J67" s="15">
        <v>1</v>
      </c>
      <c r="K67" s="15">
        <v>216</v>
      </c>
      <c r="L67" s="15">
        <v>258</v>
      </c>
      <c r="M67" s="15">
        <f t="shared" si="0"/>
        <v>1509</v>
      </c>
      <c r="N67" s="15">
        <f t="shared" si="2"/>
        <v>993</v>
      </c>
      <c r="O67" s="40"/>
    </row>
    <row r="68" spans="1:15" customFormat="1" x14ac:dyDescent="0.3">
      <c r="A68" s="151"/>
      <c r="B68" s="163"/>
      <c r="C68" s="28" t="s">
        <v>52</v>
      </c>
      <c r="D68" s="29" t="s">
        <v>13</v>
      </c>
      <c r="E68" s="30">
        <v>45893.972222222219</v>
      </c>
      <c r="F68" s="30">
        <v>45897.364583333336</v>
      </c>
      <c r="G68" s="31">
        <v>99</v>
      </c>
      <c r="H68" s="31">
        <v>188</v>
      </c>
      <c r="I68" s="31">
        <v>1</v>
      </c>
      <c r="J68" s="31">
        <v>6</v>
      </c>
      <c r="K68" s="31">
        <v>37</v>
      </c>
      <c r="L68" s="31">
        <v>181</v>
      </c>
      <c r="M68" s="31">
        <f t="shared" si="0"/>
        <v>887</v>
      </c>
      <c r="N68" s="31">
        <f t="shared" si="2"/>
        <v>512</v>
      </c>
      <c r="O68" s="41"/>
    </row>
    <row r="69" spans="1:15" customFormat="1" ht="15.65" thickBot="1" x14ac:dyDescent="0.35">
      <c r="A69" s="152"/>
      <c r="B69" s="164"/>
      <c r="C69" s="36" t="s">
        <v>24</v>
      </c>
      <c r="D69" s="37" t="s">
        <v>5</v>
      </c>
      <c r="E69" s="38">
        <v>45897.547222222223</v>
      </c>
      <c r="F69" s="38">
        <v>45900.859722222223</v>
      </c>
      <c r="G69" s="39">
        <v>195</v>
      </c>
      <c r="H69" s="39">
        <v>207</v>
      </c>
      <c r="I69" s="39">
        <v>47</v>
      </c>
      <c r="J69" s="39">
        <v>16</v>
      </c>
      <c r="K69" s="39">
        <v>184</v>
      </c>
      <c r="L69" s="39">
        <v>195</v>
      </c>
      <c r="M69" s="39">
        <f t="shared" si="0"/>
        <v>1262</v>
      </c>
      <c r="N69" s="39">
        <f t="shared" si="2"/>
        <v>844</v>
      </c>
      <c r="O69" s="42"/>
    </row>
    <row r="70" spans="1:15" customFormat="1" x14ac:dyDescent="0.3">
      <c r="A70" s="153" t="s">
        <v>89</v>
      </c>
      <c r="B70" s="157">
        <f>COUNTA(C70:C77)</f>
        <v>8</v>
      </c>
      <c r="C70" s="32" t="s">
        <v>53</v>
      </c>
      <c r="D70" s="33" t="s">
        <v>9</v>
      </c>
      <c r="E70" s="34">
        <v>45901.645833333336</v>
      </c>
      <c r="F70" s="34">
        <v>45904.05</v>
      </c>
      <c r="G70" s="35">
        <v>172</v>
      </c>
      <c r="H70" s="35">
        <v>43</v>
      </c>
      <c r="I70" s="35">
        <v>0</v>
      </c>
      <c r="J70" s="35">
        <v>2</v>
      </c>
      <c r="K70" s="35">
        <v>88</v>
      </c>
      <c r="L70" s="35">
        <v>48</v>
      </c>
      <c r="M70" s="35">
        <f t="shared" ref="M70:M83" si="3">G70+H70*2+I70+J70*2+K70+L70*2</f>
        <v>446</v>
      </c>
      <c r="N70" s="35">
        <f t="shared" si="2"/>
        <v>353</v>
      </c>
      <c r="O70" s="43">
        <f>SUM(M70:M77)</f>
        <v>8101</v>
      </c>
    </row>
    <row r="71" spans="1:15" customFormat="1" x14ac:dyDescent="0.3">
      <c r="A71" s="154"/>
      <c r="B71" s="158"/>
      <c r="C71" s="8" t="s">
        <v>16</v>
      </c>
      <c r="D71" s="9" t="s">
        <v>2</v>
      </c>
      <c r="E71" s="10">
        <v>45900.916666666664</v>
      </c>
      <c r="F71" s="10">
        <v>45906.462500000001</v>
      </c>
      <c r="G71" s="11">
        <v>130</v>
      </c>
      <c r="H71" s="11">
        <v>314</v>
      </c>
      <c r="I71" s="11">
        <v>49</v>
      </c>
      <c r="J71" s="11">
        <v>145</v>
      </c>
      <c r="K71" s="11">
        <v>153</v>
      </c>
      <c r="L71" s="11">
        <v>138</v>
      </c>
      <c r="M71" s="11">
        <f t="shared" si="3"/>
        <v>1526</v>
      </c>
      <c r="N71" s="11">
        <f t="shared" ref="N71:N83" si="4">SUM(G71:L71)</f>
        <v>929</v>
      </c>
      <c r="O71" s="40"/>
    </row>
    <row r="72" spans="1:15" customFormat="1" x14ac:dyDescent="0.3">
      <c r="A72" s="154"/>
      <c r="B72" s="158"/>
      <c r="C72" s="8" t="s">
        <v>23</v>
      </c>
      <c r="D72" s="9" t="s">
        <v>2</v>
      </c>
      <c r="E72" s="10">
        <v>45906.555555555555</v>
      </c>
      <c r="F72" s="10">
        <v>45911.527777777781</v>
      </c>
      <c r="G72" s="11">
        <v>120</v>
      </c>
      <c r="H72" s="11">
        <v>191</v>
      </c>
      <c r="I72" s="11">
        <v>21</v>
      </c>
      <c r="J72" s="11">
        <v>95</v>
      </c>
      <c r="K72" s="11">
        <v>103</v>
      </c>
      <c r="L72" s="11">
        <v>183</v>
      </c>
      <c r="M72" s="11">
        <f t="shared" si="3"/>
        <v>1182</v>
      </c>
      <c r="N72" s="11">
        <f t="shared" si="4"/>
        <v>713</v>
      </c>
      <c r="O72" s="40"/>
    </row>
    <row r="73" spans="1:15" customFormat="1" x14ac:dyDescent="0.3">
      <c r="A73" s="154"/>
      <c r="B73" s="158"/>
      <c r="C73" s="8" t="s">
        <v>11</v>
      </c>
      <c r="D73" s="9" t="s">
        <v>2</v>
      </c>
      <c r="E73" s="10">
        <v>45911.558333333334</v>
      </c>
      <c r="F73" s="10">
        <v>45914.395833333336</v>
      </c>
      <c r="G73" s="11">
        <v>63</v>
      </c>
      <c r="H73" s="11">
        <v>135</v>
      </c>
      <c r="I73" s="11">
        <v>4</v>
      </c>
      <c r="J73" s="11">
        <v>15</v>
      </c>
      <c r="K73" s="11">
        <v>91</v>
      </c>
      <c r="L73" s="11">
        <v>147</v>
      </c>
      <c r="M73" s="11">
        <f t="shared" si="3"/>
        <v>752</v>
      </c>
      <c r="N73" s="11">
        <f t="shared" si="4"/>
        <v>455</v>
      </c>
      <c r="O73" s="40"/>
    </row>
    <row r="74" spans="1:15" customFormat="1" x14ac:dyDescent="0.3">
      <c r="A74" s="154"/>
      <c r="B74" s="158"/>
      <c r="C74" s="8" t="s">
        <v>14</v>
      </c>
      <c r="D74" s="9" t="s">
        <v>9</v>
      </c>
      <c r="E74" s="10">
        <v>45915.704861111109</v>
      </c>
      <c r="F74" s="10">
        <v>45918.611111111109</v>
      </c>
      <c r="G74" s="11">
        <v>126</v>
      </c>
      <c r="H74" s="11">
        <v>86</v>
      </c>
      <c r="I74" s="11">
        <v>34</v>
      </c>
      <c r="J74" s="11">
        <v>2</v>
      </c>
      <c r="K74" s="11">
        <v>262</v>
      </c>
      <c r="L74" s="11">
        <v>179</v>
      </c>
      <c r="M74" s="11">
        <f t="shared" si="3"/>
        <v>956</v>
      </c>
      <c r="N74" s="11">
        <f t="shared" si="4"/>
        <v>689</v>
      </c>
      <c r="O74" s="40"/>
    </row>
    <row r="75" spans="1:15" customFormat="1" x14ac:dyDescent="0.3">
      <c r="A75" s="154"/>
      <c r="B75" s="158"/>
      <c r="C75" s="8" t="s">
        <v>52</v>
      </c>
      <c r="D75" s="9" t="s">
        <v>13</v>
      </c>
      <c r="E75" s="10">
        <v>45918.770833333336</v>
      </c>
      <c r="F75" s="10">
        <v>45919.774305555555</v>
      </c>
      <c r="G75" s="11">
        <v>93</v>
      </c>
      <c r="H75" s="11">
        <v>201</v>
      </c>
      <c r="I75" s="11">
        <v>1</v>
      </c>
      <c r="J75" s="11">
        <v>10</v>
      </c>
      <c r="K75" s="11">
        <v>0</v>
      </c>
      <c r="L75" s="11">
        <v>0</v>
      </c>
      <c r="M75" s="11">
        <f t="shared" si="3"/>
        <v>516</v>
      </c>
      <c r="N75" s="11">
        <f t="shared" si="4"/>
        <v>305</v>
      </c>
      <c r="O75" s="40"/>
    </row>
    <row r="76" spans="1:15" customFormat="1" x14ac:dyDescent="0.3">
      <c r="A76" s="155"/>
      <c r="B76" s="159"/>
      <c r="C76" s="16" t="s">
        <v>24</v>
      </c>
      <c r="D76" s="17" t="s">
        <v>5</v>
      </c>
      <c r="E76" s="18">
        <v>45921.451388888891</v>
      </c>
      <c r="F76" s="18">
        <v>45926.923611111109</v>
      </c>
      <c r="G76" s="19">
        <v>185</v>
      </c>
      <c r="H76" s="19">
        <v>211</v>
      </c>
      <c r="I76" s="19">
        <v>20</v>
      </c>
      <c r="J76" s="19">
        <v>151</v>
      </c>
      <c r="K76" s="19">
        <v>186</v>
      </c>
      <c r="L76" s="19">
        <v>63</v>
      </c>
      <c r="M76" s="19">
        <f t="shared" si="3"/>
        <v>1241</v>
      </c>
      <c r="N76" s="19">
        <f t="shared" si="4"/>
        <v>816</v>
      </c>
      <c r="O76" s="41"/>
    </row>
    <row r="77" spans="1:15" customFormat="1" ht="15.65" thickBot="1" x14ac:dyDescent="0.35">
      <c r="A77" s="156"/>
      <c r="B77" s="160"/>
      <c r="C77" s="24" t="s">
        <v>16</v>
      </c>
      <c r="D77" s="25" t="s">
        <v>2</v>
      </c>
      <c r="E77" s="26">
        <v>45922.715277777781</v>
      </c>
      <c r="F77" s="26">
        <v>45927.45416666667</v>
      </c>
      <c r="G77" s="27">
        <v>205</v>
      </c>
      <c r="H77" s="27">
        <v>216</v>
      </c>
      <c r="I77" s="27">
        <v>86</v>
      </c>
      <c r="J77" s="27">
        <v>39</v>
      </c>
      <c r="K77" s="27">
        <v>83</v>
      </c>
      <c r="L77" s="27">
        <v>299</v>
      </c>
      <c r="M77" s="27">
        <f t="shared" si="3"/>
        <v>1482</v>
      </c>
      <c r="N77" s="27">
        <f t="shared" si="4"/>
        <v>928</v>
      </c>
      <c r="O77" s="42"/>
    </row>
    <row r="78" spans="1:15" customFormat="1" x14ac:dyDescent="0.3">
      <c r="A78" s="149" t="s">
        <v>90</v>
      </c>
      <c r="B78" s="161">
        <f>COUNTA(C78:C87)</f>
        <v>10</v>
      </c>
      <c r="C78" s="20" t="s">
        <v>23</v>
      </c>
      <c r="D78" s="21" t="s">
        <v>2</v>
      </c>
      <c r="E78" s="22">
        <v>45934.3125</v>
      </c>
      <c r="F78" s="22">
        <v>45936.60833333333</v>
      </c>
      <c r="G78" s="23">
        <v>90</v>
      </c>
      <c r="H78" s="23">
        <v>238</v>
      </c>
      <c r="I78" s="23">
        <v>11</v>
      </c>
      <c r="J78" s="23">
        <v>15</v>
      </c>
      <c r="K78" s="23">
        <v>4</v>
      </c>
      <c r="L78" s="23">
        <v>220</v>
      </c>
      <c r="M78" s="23">
        <f t="shared" si="3"/>
        <v>1051</v>
      </c>
      <c r="N78" s="23">
        <f>SUM(G78:L78)</f>
        <v>578</v>
      </c>
      <c r="O78" s="43">
        <f>SUM(M78:M87)</f>
        <v>9140</v>
      </c>
    </row>
    <row r="79" spans="1:15" customFormat="1" x14ac:dyDescent="0.3">
      <c r="A79" s="150"/>
      <c r="B79" s="162"/>
      <c r="C79" s="12" t="s">
        <v>54</v>
      </c>
      <c r="D79" s="13" t="s">
        <v>5</v>
      </c>
      <c r="E79" s="14">
        <v>45936.662499999999</v>
      </c>
      <c r="F79" s="14">
        <v>45938.430555555555</v>
      </c>
      <c r="G79" s="15">
        <v>210</v>
      </c>
      <c r="H79" s="15">
        <v>47</v>
      </c>
      <c r="I79" s="15">
        <v>0</v>
      </c>
      <c r="J79" s="15">
        <v>0</v>
      </c>
      <c r="K79" s="15">
        <v>128</v>
      </c>
      <c r="L79" s="15">
        <v>91</v>
      </c>
      <c r="M79" s="15">
        <f t="shared" si="3"/>
        <v>614</v>
      </c>
      <c r="N79" s="15">
        <f t="shared" si="4"/>
        <v>476</v>
      </c>
      <c r="O79" s="40"/>
    </row>
    <row r="80" spans="1:15" customFormat="1" x14ac:dyDescent="0.3">
      <c r="A80" s="150"/>
      <c r="B80" s="162"/>
      <c r="C80" s="12" t="s">
        <v>11</v>
      </c>
      <c r="D80" s="13" t="s">
        <v>2</v>
      </c>
      <c r="E80" s="14">
        <v>45936.76666666667</v>
      </c>
      <c r="F80" s="14">
        <v>45940.447916666664</v>
      </c>
      <c r="G80" s="15">
        <v>138</v>
      </c>
      <c r="H80" s="15">
        <v>208</v>
      </c>
      <c r="I80" s="15">
        <v>12</v>
      </c>
      <c r="J80" s="15">
        <v>10</v>
      </c>
      <c r="K80" s="15">
        <v>214</v>
      </c>
      <c r="L80" s="15">
        <v>240</v>
      </c>
      <c r="M80" s="15">
        <f t="shared" si="3"/>
        <v>1280</v>
      </c>
      <c r="N80" s="15">
        <f t="shared" si="4"/>
        <v>822</v>
      </c>
      <c r="O80" s="40"/>
    </row>
    <row r="81" spans="1:15" customFormat="1" x14ac:dyDescent="0.3">
      <c r="A81" s="150"/>
      <c r="B81" s="162"/>
      <c r="C81" s="12" t="s">
        <v>14</v>
      </c>
      <c r="D81" s="13" t="s">
        <v>9</v>
      </c>
      <c r="E81" s="14">
        <v>45941.443055555559</v>
      </c>
      <c r="F81" s="14">
        <v>45943.777777777781</v>
      </c>
      <c r="G81" s="15">
        <v>129</v>
      </c>
      <c r="H81" s="15">
        <v>212</v>
      </c>
      <c r="I81" s="15">
        <v>0</v>
      </c>
      <c r="J81" s="15">
        <v>28</v>
      </c>
      <c r="K81" s="15">
        <v>120</v>
      </c>
      <c r="L81" s="15">
        <v>43</v>
      </c>
      <c r="M81" s="15">
        <f t="shared" si="3"/>
        <v>815</v>
      </c>
      <c r="N81" s="15">
        <f t="shared" si="4"/>
        <v>532</v>
      </c>
      <c r="O81" s="40"/>
    </row>
    <row r="82" spans="1:15" customFormat="1" x14ac:dyDescent="0.3">
      <c r="A82" s="150"/>
      <c r="B82" s="162"/>
      <c r="C82" s="12" t="s">
        <v>24</v>
      </c>
      <c r="D82" s="13" t="s">
        <v>5</v>
      </c>
      <c r="E82" s="14">
        <v>45944.583333333336</v>
      </c>
      <c r="F82" s="14">
        <v>45947.397916666669</v>
      </c>
      <c r="G82" s="15">
        <v>126</v>
      </c>
      <c r="H82" s="15">
        <v>117</v>
      </c>
      <c r="I82" s="15">
        <v>7</v>
      </c>
      <c r="J82" s="15">
        <v>55</v>
      </c>
      <c r="K82" s="15">
        <v>230</v>
      </c>
      <c r="L82" s="15">
        <v>112</v>
      </c>
      <c r="M82" s="15">
        <f t="shared" si="3"/>
        <v>931</v>
      </c>
      <c r="N82" s="15">
        <f t="shared" si="4"/>
        <v>647</v>
      </c>
      <c r="O82" s="40"/>
    </row>
    <row r="83" spans="1:15" customFormat="1" x14ac:dyDescent="0.3">
      <c r="A83" s="150"/>
      <c r="B83" s="162"/>
      <c r="C83" s="12" t="s">
        <v>16</v>
      </c>
      <c r="D83" s="13" t="s">
        <v>2</v>
      </c>
      <c r="E83" s="14">
        <v>45943.67083333333</v>
      </c>
      <c r="F83" s="14">
        <v>45947.645833333336</v>
      </c>
      <c r="G83" s="15">
        <v>204</v>
      </c>
      <c r="H83" s="15">
        <v>223</v>
      </c>
      <c r="I83" s="15">
        <v>8</v>
      </c>
      <c r="J83" s="15">
        <v>21</v>
      </c>
      <c r="K83" s="15">
        <v>51</v>
      </c>
      <c r="L83" s="15">
        <v>61</v>
      </c>
      <c r="M83" s="15">
        <f t="shared" si="3"/>
        <v>873</v>
      </c>
      <c r="N83" s="15">
        <f t="shared" si="4"/>
        <v>568</v>
      </c>
      <c r="O83" s="40"/>
    </row>
    <row r="84" spans="1:15" customFormat="1" x14ac:dyDescent="0.3">
      <c r="A84" s="150"/>
      <c r="B84" s="162"/>
      <c r="C84" s="12" t="s">
        <v>52</v>
      </c>
      <c r="D84" s="13" t="s">
        <v>13</v>
      </c>
      <c r="E84" s="14">
        <v>45947.470138888886</v>
      </c>
      <c r="F84" s="14">
        <v>45949.621527777781</v>
      </c>
      <c r="G84" s="15">
        <v>50</v>
      </c>
      <c r="H84" s="15">
        <v>156</v>
      </c>
      <c r="I84" s="15">
        <v>1</v>
      </c>
      <c r="J84" s="15">
        <v>16</v>
      </c>
      <c r="K84" s="15">
        <v>78</v>
      </c>
      <c r="L84" s="15">
        <v>209</v>
      </c>
      <c r="M84" s="15">
        <f t="shared" ref="M84:M103" si="5">G84+H84*2+I84+J84*2+K84+L84*2</f>
        <v>891</v>
      </c>
      <c r="N84" s="15">
        <f>SUM(G84:L84)</f>
        <v>510</v>
      </c>
      <c r="O84" s="40"/>
    </row>
    <row r="85" spans="1:15" customFormat="1" x14ac:dyDescent="0.3">
      <c r="A85" s="150"/>
      <c r="B85" s="162"/>
      <c r="C85" s="12" t="s">
        <v>23</v>
      </c>
      <c r="D85" s="13" t="s">
        <v>2</v>
      </c>
      <c r="E85" s="14">
        <v>45950.743055555555</v>
      </c>
      <c r="F85" s="14">
        <v>45954.390972222223</v>
      </c>
      <c r="G85" s="15">
        <v>143</v>
      </c>
      <c r="H85" s="15">
        <v>185</v>
      </c>
      <c r="I85" s="15">
        <v>10</v>
      </c>
      <c r="J85" s="15">
        <v>20</v>
      </c>
      <c r="K85" s="15">
        <v>164</v>
      </c>
      <c r="L85" s="15">
        <v>133</v>
      </c>
      <c r="M85" s="15">
        <f t="shared" si="5"/>
        <v>993</v>
      </c>
      <c r="N85" s="15">
        <f>SUM(G85:L85)</f>
        <v>655</v>
      </c>
      <c r="O85" s="40"/>
    </row>
    <row r="86" spans="1:15" customFormat="1" x14ac:dyDescent="0.3">
      <c r="A86" s="151"/>
      <c r="B86" s="163"/>
      <c r="C86" s="28" t="s">
        <v>24</v>
      </c>
      <c r="D86" s="29" t="s">
        <v>5</v>
      </c>
      <c r="E86" s="30">
        <v>45955.916666666664</v>
      </c>
      <c r="F86" s="30">
        <v>45958.10833333333</v>
      </c>
      <c r="G86" s="31">
        <v>193</v>
      </c>
      <c r="H86" s="31">
        <v>120</v>
      </c>
      <c r="I86" s="31">
        <v>9</v>
      </c>
      <c r="J86" s="31">
        <v>2</v>
      </c>
      <c r="K86" s="31">
        <v>129</v>
      </c>
      <c r="L86" s="31">
        <v>90</v>
      </c>
      <c r="M86" s="31">
        <f t="shared" si="5"/>
        <v>755</v>
      </c>
      <c r="N86" s="31">
        <f>SUM(G86:L86)</f>
        <v>543</v>
      </c>
      <c r="O86" s="41"/>
    </row>
    <row r="87" spans="1:15" customFormat="1" ht="15.65" thickBot="1" x14ac:dyDescent="0.35">
      <c r="A87" s="152"/>
      <c r="B87" s="164"/>
      <c r="C87" s="36" t="s">
        <v>55</v>
      </c>
      <c r="D87" s="37" t="s">
        <v>2</v>
      </c>
      <c r="E87" s="38">
        <v>45958.179166666669</v>
      </c>
      <c r="F87" s="38">
        <v>45960.069444444445</v>
      </c>
      <c r="G87" s="39">
        <v>23</v>
      </c>
      <c r="H87" s="39">
        <v>340</v>
      </c>
      <c r="I87" s="39">
        <v>6</v>
      </c>
      <c r="J87" s="39">
        <v>12</v>
      </c>
      <c r="K87" s="39">
        <v>110</v>
      </c>
      <c r="L87" s="39">
        <v>47</v>
      </c>
      <c r="M87" s="39">
        <f t="shared" si="5"/>
        <v>937</v>
      </c>
      <c r="N87" s="39">
        <f>SUM(G87:L87)</f>
        <v>538</v>
      </c>
      <c r="O87" s="42"/>
    </row>
    <row r="88" spans="1:15" customFormat="1" x14ac:dyDescent="0.3">
      <c r="A88" s="153" t="s">
        <v>91</v>
      </c>
      <c r="B88" s="157">
        <f>COUNTA(C88:C96)</f>
        <v>9</v>
      </c>
      <c r="C88" s="32" t="s">
        <v>11</v>
      </c>
      <c r="D88" s="33" t="s">
        <v>2</v>
      </c>
      <c r="E88" s="34">
        <v>45962.770833333336</v>
      </c>
      <c r="F88" s="34">
        <v>45966.344444444447</v>
      </c>
      <c r="G88" s="35">
        <v>158</v>
      </c>
      <c r="H88" s="35">
        <v>199</v>
      </c>
      <c r="I88" s="35">
        <v>32</v>
      </c>
      <c r="J88" s="35">
        <v>179</v>
      </c>
      <c r="K88" s="35">
        <v>41</v>
      </c>
      <c r="L88" s="35">
        <v>151</v>
      </c>
      <c r="M88" s="35">
        <f t="shared" si="5"/>
        <v>1289</v>
      </c>
      <c r="N88" s="35">
        <f>SUM(G88:L88)</f>
        <v>760</v>
      </c>
      <c r="O88" s="43">
        <f>SUM(M88:M96)</f>
        <v>10012</v>
      </c>
    </row>
    <row r="89" spans="1:15" customFormat="1" x14ac:dyDescent="0.3">
      <c r="A89" s="154"/>
      <c r="B89" s="158"/>
      <c r="C89" s="8" t="s">
        <v>24</v>
      </c>
      <c r="D89" s="9" t="s">
        <v>5</v>
      </c>
      <c r="E89" s="10">
        <v>45967.383333333331</v>
      </c>
      <c r="F89" s="10">
        <v>45969.357638888891</v>
      </c>
      <c r="G89" s="11">
        <v>183</v>
      </c>
      <c r="H89" s="11">
        <v>90</v>
      </c>
      <c r="I89" s="11">
        <v>5</v>
      </c>
      <c r="J89" s="11">
        <v>0</v>
      </c>
      <c r="K89" s="11">
        <v>181</v>
      </c>
      <c r="L89" s="11">
        <v>106</v>
      </c>
      <c r="M89" s="11">
        <f t="shared" si="5"/>
        <v>761</v>
      </c>
      <c r="N89" s="11">
        <f t="shared" ref="N89:N102" si="6">SUM(G89:L89)</f>
        <v>565</v>
      </c>
      <c r="O89" s="40"/>
    </row>
    <row r="90" spans="1:15" customFormat="1" x14ac:dyDescent="0.3">
      <c r="A90" s="154"/>
      <c r="B90" s="158"/>
      <c r="C90" s="8" t="s">
        <v>23</v>
      </c>
      <c r="D90" s="9" t="s">
        <v>2</v>
      </c>
      <c r="E90" s="10">
        <v>45969.579861111109</v>
      </c>
      <c r="F90" s="10">
        <v>45972.645833333336</v>
      </c>
      <c r="G90" s="11">
        <v>121</v>
      </c>
      <c r="H90" s="11">
        <v>213</v>
      </c>
      <c r="I90" s="11">
        <v>16</v>
      </c>
      <c r="J90" s="11">
        <v>62</v>
      </c>
      <c r="K90" s="11">
        <v>109</v>
      </c>
      <c r="L90" s="11">
        <v>244</v>
      </c>
      <c r="M90" s="11">
        <f t="shared" si="5"/>
        <v>1284</v>
      </c>
      <c r="N90" s="11">
        <f t="shared" si="6"/>
        <v>765</v>
      </c>
      <c r="O90" s="40"/>
    </row>
    <row r="91" spans="1:15" customFormat="1" x14ac:dyDescent="0.3">
      <c r="A91" s="154"/>
      <c r="B91" s="158"/>
      <c r="C91" s="8" t="s">
        <v>52</v>
      </c>
      <c r="D91" s="9" t="s">
        <v>13</v>
      </c>
      <c r="E91" s="10">
        <v>45972.822916666664</v>
      </c>
      <c r="F91" s="10">
        <v>45974.90625</v>
      </c>
      <c r="G91" s="11">
        <v>81</v>
      </c>
      <c r="H91" s="11">
        <v>165</v>
      </c>
      <c r="I91" s="11">
        <v>0</v>
      </c>
      <c r="J91" s="11">
        <v>8</v>
      </c>
      <c r="K91" s="11">
        <v>141</v>
      </c>
      <c r="L91" s="11">
        <v>273</v>
      </c>
      <c r="M91" s="11">
        <f t="shared" si="5"/>
        <v>1114</v>
      </c>
      <c r="N91" s="11">
        <f t="shared" si="6"/>
        <v>668</v>
      </c>
      <c r="O91" s="40"/>
    </row>
    <row r="92" spans="1:15" customFormat="1" x14ac:dyDescent="0.3">
      <c r="A92" s="154"/>
      <c r="B92" s="158"/>
      <c r="C92" s="8" t="s">
        <v>55</v>
      </c>
      <c r="D92" s="9" t="s">
        <v>2</v>
      </c>
      <c r="E92" s="10">
        <v>45978.8125</v>
      </c>
      <c r="F92" s="10">
        <v>45982.395833333336</v>
      </c>
      <c r="G92" s="11">
        <v>47</v>
      </c>
      <c r="H92" s="11">
        <v>338</v>
      </c>
      <c r="I92" s="11">
        <v>10</v>
      </c>
      <c r="J92" s="11">
        <v>77</v>
      </c>
      <c r="K92" s="11">
        <v>97</v>
      </c>
      <c r="L92" s="11">
        <v>281</v>
      </c>
      <c r="M92" s="11">
        <f t="shared" si="5"/>
        <v>1546</v>
      </c>
      <c r="N92" s="11">
        <f t="shared" si="6"/>
        <v>850</v>
      </c>
      <c r="O92" s="40"/>
    </row>
    <row r="93" spans="1:15" customFormat="1" x14ac:dyDescent="0.3">
      <c r="A93" s="154"/>
      <c r="B93" s="158"/>
      <c r="C93" s="8" t="s">
        <v>24</v>
      </c>
      <c r="D93" s="9" t="s">
        <v>5</v>
      </c>
      <c r="E93" s="10">
        <v>45980.868055555555</v>
      </c>
      <c r="F93" s="10">
        <v>45985.851388888892</v>
      </c>
      <c r="G93" s="11">
        <v>75</v>
      </c>
      <c r="H93" s="11">
        <v>93</v>
      </c>
      <c r="I93" s="11">
        <v>2</v>
      </c>
      <c r="J93" s="11">
        <v>0</v>
      </c>
      <c r="K93" s="11">
        <v>170</v>
      </c>
      <c r="L93" s="11">
        <v>97</v>
      </c>
      <c r="M93" s="11">
        <f t="shared" si="5"/>
        <v>627</v>
      </c>
      <c r="N93" s="11">
        <f t="shared" si="6"/>
        <v>437</v>
      </c>
      <c r="O93" s="40"/>
    </row>
    <row r="94" spans="1:15" customFormat="1" x14ac:dyDescent="0.3">
      <c r="A94" s="154"/>
      <c r="B94" s="158"/>
      <c r="C94" s="8" t="s">
        <v>56</v>
      </c>
      <c r="D94" s="9" t="s">
        <v>2</v>
      </c>
      <c r="E94" s="10">
        <v>45982.841666666667</v>
      </c>
      <c r="F94" s="10">
        <v>45985.354166666664</v>
      </c>
      <c r="G94" s="11">
        <v>93</v>
      </c>
      <c r="H94" s="11">
        <v>411</v>
      </c>
      <c r="I94" s="11">
        <v>0</v>
      </c>
      <c r="J94" s="11">
        <v>0</v>
      </c>
      <c r="K94" s="11">
        <v>130</v>
      </c>
      <c r="L94" s="11">
        <v>0</v>
      </c>
      <c r="M94" s="11">
        <f t="shared" si="5"/>
        <v>1045</v>
      </c>
      <c r="N94" s="11">
        <f t="shared" si="6"/>
        <v>634</v>
      </c>
      <c r="O94" s="40"/>
    </row>
    <row r="95" spans="1:15" customFormat="1" x14ac:dyDescent="0.3">
      <c r="A95" s="155"/>
      <c r="B95" s="159"/>
      <c r="C95" s="16" t="s">
        <v>52</v>
      </c>
      <c r="D95" s="17" t="s">
        <v>13</v>
      </c>
      <c r="E95" s="18">
        <v>45985.427083333336</v>
      </c>
      <c r="F95" s="18">
        <v>45987.597222222219</v>
      </c>
      <c r="G95" s="19">
        <v>100</v>
      </c>
      <c r="H95" s="19">
        <v>259</v>
      </c>
      <c r="I95" s="19">
        <v>8</v>
      </c>
      <c r="J95" s="19">
        <v>31</v>
      </c>
      <c r="K95" s="19">
        <v>83</v>
      </c>
      <c r="L95" s="19">
        <v>138</v>
      </c>
      <c r="M95" s="19">
        <f t="shared" si="5"/>
        <v>1047</v>
      </c>
      <c r="N95" s="19">
        <f t="shared" si="6"/>
        <v>619</v>
      </c>
      <c r="O95" s="41"/>
    </row>
    <row r="96" spans="1:15" s="7" customFormat="1" ht="15.65" thickBot="1" x14ac:dyDescent="0.35">
      <c r="A96" s="156"/>
      <c r="B96" s="160"/>
      <c r="C96" s="24" t="s">
        <v>25</v>
      </c>
      <c r="D96" s="25" t="s">
        <v>9</v>
      </c>
      <c r="E96" s="26">
        <v>45988.6875</v>
      </c>
      <c r="F96" s="26">
        <v>45992.80972222222</v>
      </c>
      <c r="G96" s="27">
        <v>226</v>
      </c>
      <c r="H96" s="27">
        <v>226</v>
      </c>
      <c r="I96" s="27">
        <v>107</v>
      </c>
      <c r="J96" s="27">
        <v>2</v>
      </c>
      <c r="K96" s="27">
        <v>12</v>
      </c>
      <c r="L96" s="27">
        <v>249</v>
      </c>
      <c r="M96" s="27">
        <f t="shared" si="5"/>
        <v>1299</v>
      </c>
      <c r="N96" s="27">
        <f t="shared" si="6"/>
        <v>822</v>
      </c>
      <c r="O96" s="42"/>
    </row>
    <row r="97" spans="1:15" s="7" customFormat="1" ht="14.4" customHeight="1" x14ac:dyDescent="0.3">
      <c r="A97" s="149" t="s">
        <v>92</v>
      </c>
      <c r="B97" s="161">
        <f>COUNTA(C97:C103)</f>
        <v>7</v>
      </c>
      <c r="C97" s="20" t="s">
        <v>23</v>
      </c>
      <c r="D97" s="21" t="s">
        <v>2</v>
      </c>
      <c r="E97" s="22">
        <v>45993.375</v>
      </c>
      <c r="F97" s="22">
        <v>45996.404166666667</v>
      </c>
      <c r="G97" s="23">
        <v>115</v>
      </c>
      <c r="H97" s="23">
        <v>248</v>
      </c>
      <c r="I97" s="23">
        <v>42</v>
      </c>
      <c r="J97" s="23">
        <v>82</v>
      </c>
      <c r="K97" s="23">
        <v>84</v>
      </c>
      <c r="L97" s="23">
        <v>226</v>
      </c>
      <c r="M97" s="23">
        <f t="shared" si="5"/>
        <v>1353</v>
      </c>
      <c r="N97" s="23">
        <f t="shared" si="6"/>
        <v>797</v>
      </c>
      <c r="O97" s="43">
        <f>SUM(M97:M103)</f>
        <v>7860</v>
      </c>
    </row>
    <row r="98" spans="1:15" s="7" customFormat="1" x14ac:dyDescent="0.3">
      <c r="A98" s="150"/>
      <c r="B98" s="162"/>
      <c r="C98" s="12" t="s">
        <v>24</v>
      </c>
      <c r="D98" s="13" t="s">
        <v>5</v>
      </c>
      <c r="E98" s="14">
        <v>45995.857638888891</v>
      </c>
      <c r="F98" s="14">
        <v>45997.9</v>
      </c>
      <c r="G98" s="15">
        <v>152</v>
      </c>
      <c r="H98" s="15">
        <v>185</v>
      </c>
      <c r="I98" s="15">
        <v>5</v>
      </c>
      <c r="J98" s="15">
        <v>0</v>
      </c>
      <c r="K98" s="15">
        <v>109</v>
      </c>
      <c r="L98" s="15">
        <v>131</v>
      </c>
      <c r="M98" s="15">
        <f t="shared" si="5"/>
        <v>898</v>
      </c>
      <c r="N98" s="15">
        <f t="shared" si="6"/>
        <v>582</v>
      </c>
      <c r="O98" s="40"/>
    </row>
    <row r="99" spans="1:15" s="7" customFormat="1" x14ac:dyDescent="0.3">
      <c r="A99" s="150"/>
      <c r="B99" s="162"/>
      <c r="C99" s="12" t="s">
        <v>14</v>
      </c>
      <c r="D99" s="13" t="s">
        <v>9</v>
      </c>
      <c r="E99" s="14">
        <v>45997.788194444445</v>
      </c>
      <c r="F99" s="14">
        <v>46000.534722222219</v>
      </c>
      <c r="G99" s="15">
        <v>118</v>
      </c>
      <c r="H99" s="15">
        <v>184</v>
      </c>
      <c r="I99" s="15">
        <v>70</v>
      </c>
      <c r="J99" s="15">
        <v>20</v>
      </c>
      <c r="K99" s="15">
        <v>117</v>
      </c>
      <c r="L99" s="15">
        <v>135</v>
      </c>
      <c r="M99" s="15">
        <f t="shared" si="5"/>
        <v>983</v>
      </c>
      <c r="N99" s="15">
        <f t="shared" si="6"/>
        <v>644</v>
      </c>
      <c r="O99" s="40"/>
    </row>
    <row r="100" spans="1:15" s="7" customFormat="1" x14ac:dyDescent="0.3">
      <c r="A100" s="150"/>
      <c r="B100" s="162"/>
      <c r="C100" s="12" t="s">
        <v>54</v>
      </c>
      <c r="D100" s="13" t="s">
        <v>5</v>
      </c>
      <c r="E100" s="14">
        <v>46000.98333333333</v>
      </c>
      <c r="F100" s="14">
        <v>46002.219444444447</v>
      </c>
      <c r="G100" s="15">
        <v>184</v>
      </c>
      <c r="H100" s="15">
        <v>51</v>
      </c>
      <c r="I100" s="15">
        <v>0</v>
      </c>
      <c r="J100" s="15">
        <v>0</v>
      </c>
      <c r="K100" s="15">
        <v>12</v>
      </c>
      <c r="L100" s="15">
        <v>55</v>
      </c>
      <c r="M100" s="15">
        <f t="shared" si="5"/>
        <v>408</v>
      </c>
      <c r="N100" s="15">
        <f t="shared" si="6"/>
        <v>302</v>
      </c>
      <c r="O100" s="40"/>
    </row>
    <row r="101" spans="1:15" s="7" customFormat="1" x14ac:dyDescent="0.3">
      <c r="A101" s="150"/>
      <c r="B101" s="162"/>
      <c r="C101" s="12" t="s">
        <v>55</v>
      </c>
      <c r="D101" s="13" t="s">
        <v>2</v>
      </c>
      <c r="E101" s="14">
        <v>45999.445833333331</v>
      </c>
      <c r="F101" s="14">
        <v>46002.89166666667</v>
      </c>
      <c r="G101" s="15">
        <v>225</v>
      </c>
      <c r="H101" s="15">
        <v>175</v>
      </c>
      <c r="I101" s="15">
        <v>76</v>
      </c>
      <c r="J101" s="15">
        <v>84</v>
      </c>
      <c r="K101" s="15">
        <v>50</v>
      </c>
      <c r="L101" s="15">
        <v>272</v>
      </c>
      <c r="M101" s="15">
        <f t="shared" si="5"/>
        <v>1413</v>
      </c>
      <c r="N101" s="15">
        <f t="shared" si="6"/>
        <v>882</v>
      </c>
      <c r="O101" s="40"/>
    </row>
    <row r="102" spans="1:15" s="7" customFormat="1" x14ac:dyDescent="0.3">
      <c r="A102" s="151"/>
      <c r="B102" s="163"/>
      <c r="C102" s="28" t="s">
        <v>57</v>
      </c>
      <c r="D102" s="29" t="s">
        <v>2</v>
      </c>
      <c r="E102" s="30">
        <v>46003.069444444445</v>
      </c>
      <c r="F102" s="30">
        <v>46006.690972222219</v>
      </c>
      <c r="G102" s="31">
        <v>281</v>
      </c>
      <c r="H102" s="31">
        <v>258</v>
      </c>
      <c r="I102" s="31">
        <v>19</v>
      </c>
      <c r="J102" s="31">
        <v>41</v>
      </c>
      <c r="K102" s="31">
        <v>108</v>
      </c>
      <c r="L102" s="31">
        <v>350</v>
      </c>
      <c r="M102" s="31">
        <f t="shared" si="5"/>
        <v>1706</v>
      </c>
      <c r="N102" s="31">
        <f t="shared" si="6"/>
        <v>1057</v>
      </c>
      <c r="O102" s="41"/>
    </row>
    <row r="103" spans="1:15" s="7" customFormat="1" ht="15.65" thickBot="1" x14ac:dyDescent="0.35">
      <c r="A103" s="151"/>
      <c r="B103" s="163"/>
      <c r="C103" s="28" t="s">
        <v>52</v>
      </c>
      <c r="D103" s="29" t="s">
        <v>13</v>
      </c>
      <c r="E103" s="30">
        <v>46009.069444444445</v>
      </c>
      <c r="F103" s="30">
        <v>46010.96875</v>
      </c>
      <c r="G103" s="31">
        <v>70</v>
      </c>
      <c r="H103" s="31">
        <v>225</v>
      </c>
      <c r="I103" s="31">
        <v>2</v>
      </c>
      <c r="J103" s="31">
        <v>15</v>
      </c>
      <c r="K103" s="31">
        <v>91</v>
      </c>
      <c r="L103" s="31">
        <v>228</v>
      </c>
      <c r="M103" s="31">
        <f t="shared" si="5"/>
        <v>1099</v>
      </c>
      <c r="N103" s="31">
        <f>SUM(G103:L103)</f>
        <v>631</v>
      </c>
      <c r="O103" s="48"/>
    </row>
    <row r="104" spans="1:15" customFormat="1" ht="20.05" customHeight="1" thickBot="1" x14ac:dyDescent="0.35">
      <c r="A104" s="49"/>
      <c r="B104" s="50">
        <f>SUM(B3:B103)</f>
        <v>101</v>
      </c>
      <c r="C104" s="50" t="s">
        <v>122</v>
      </c>
      <c r="D104" s="165"/>
      <c r="E104" s="165"/>
      <c r="F104" s="165"/>
      <c r="G104" s="51">
        <f t="shared" ref="G104:N104" si="7">SUM(G3:G103)</f>
        <v>16405</v>
      </c>
      <c r="H104" s="51">
        <f t="shared" si="7"/>
        <v>20323</v>
      </c>
      <c r="I104" s="51">
        <f t="shared" si="7"/>
        <v>3250</v>
      </c>
      <c r="J104" s="51">
        <f t="shared" si="7"/>
        <v>4153</v>
      </c>
      <c r="K104" s="51">
        <f t="shared" si="7"/>
        <v>13231</v>
      </c>
      <c r="L104" s="51">
        <f t="shared" si="7"/>
        <v>15881</v>
      </c>
      <c r="M104" s="51">
        <f t="shared" si="7"/>
        <v>113600</v>
      </c>
      <c r="N104" s="51">
        <f t="shared" si="7"/>
        <v>73243</v>
      </c>
      <c r="O104" s="52">
        <f>SUM(O3:O103)</f>
        <v>113600</v>
      </c>
    </row>
  </sheetData>
  <mergeCells count="36">
    <mergeCell ref="N1:N2"/>
    <mergeCell ref="A34:A42"/>
    <mergeCell ref="G1:H1"/>
    <mergeCell ref="I1:J1"/>
    <mergeCell ref="K1:L1"/>
    <mergeCell ref="M1:M2"/>
    <mergeCell ref="A1:A2"/>
    <mergeCell ref="B1:B2"/>
    <mergeCell ref="C1:C2"/>
    <mergeCell ref="F1:F2"/>
    <mergeCell ref="E1:E2"/>
    <mergeCell ref="D1:D2"/>
    <mergeCell ref="B12:B16"/>
    <mergeCell ref="B17:B24"/>
    <mergeCell ref="B25:B33"/>
    <mergeCell ref="B34:B42"/>
    <mergeCell ref="D104:F104"/>
    <mergeCell ref="A88:A96"/>
    <mergeCell ref="B88:B96"/>
    <mergeCell ref="B97:B103"/>
    <mergeCell ref="A97:A103"/>
    <mergeCell ref="A12:A16"/>
    <mergeCell ref="A17:A24"/>
    <mergeCell ref="B3:B11"/>
    <mergeCell ref="A3:A11"/>
    <mergeCell ref="A78:A87"/>
    <mergeCell ref="B78:B87"/>
    <mergeCell ref="A70:A77"/>
    <mergeCell ref="B70:B77"/>
    <mergeCell ref="A25:A33"/>
    <mergeCell ref="A62:A69"/>
    <mergeCell ref="B62:B69"/>
    <mergeCell ref="B53:B61"/>
    <mergeCell ref="A53:A61"/>
    <mergeCell ref="A43:A52"/>
    <mergeCell ref="B43:B52"/>
  </mergeCells>
  <pageMargins left="0.7" right="0.7" top="0.75" bottom="0.75" header="0.3" footer="0.3"/>
  <ignoredErrors>
    <ignoredError sqref="N3:N96 N100:N103 N97:N99 G104:N10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305F-2962-448F-B78C-C160A2802E86}">
  <dimension ref="A1:O106"/>
  <sheetViews>
    <sheetView workbookViewId="0">
      <pane xSplit="1" ySplit="2" topLeftCell="B61" activePane="bottomRight" state="frozen"/>
      <selection pane="topRight" activeCell="B1" sqref="B1"/>
      <selection pane="bottomLeft" activeCell="A3" sqref="A3"/>
      <selection pane="bottomRight" activeCell="P11" sqref="P11"/>
    </sheetView>
  </sheetViews>
  <sheetFormatPr defaultRowHeight="15.05" x14ac:dyDescent="0.3"/>
  <cols>
    <col min="1" max="1" width="3.88671875" customWidth="1"/>
    <col min="2" max="2" width="5" style="1" customWidth="1"/>
    <col min="3" max="3" width="26.6640625" customWidth="1"/>
    <col min="4" max="4" width="7.77734375" customWidth="1"/>
    <col min="5" max="6" width="13.109375" customWidth="1"/>
    <col min="7" max="12" width="7.109375" customWidth="1"/>
    <col min="13" max="13" width="11.33203125" style="3" customWidth="1"/>
    <col min="14" max="14" width="14.21875" style="3" customWidth="1"/>
    <col min="15" max="15" width="14.21875" customWidth="1"/>
  </cols>
  <sheetData>
    <row r="1" spans="1:15" ht="30.05" customHeight="1" x14ac:dyDescent="0.3">
      <c r="A1" s="168" t="s">
        <v>80</v>
      </c>
      <c r="B1" s="166" t="s">
        <v>0</v>
      </c>
      <c r="C1" s="166" t="s">
        <v>110</v>
      </c>
      <c r="D1" s="166" t="s">
        <v>95</v>
      </c>
      <c r="E1" s="166" t="s">
        <v>111</v>
      </c>
      <c r="F1" s="166" t="s">
        <v>112</v>
      </c>
      <c r="G1" s="166" t="s">
        <v>113</v>
      </c>
      <c r="H1" s="166"/>
      <c r="I1" s="166" t="s">
        <v>114</v>
      </c>
      <c r="J1" s="166"/>
      <c r="K1" s="166" t="s">
        <v>115</v>
      </c>
      <c r="L1" s="166"/>
      <c r="M1" s="166" t="s">
        <v>117</v>
      </c>
      <c r="N1" s="166" t="s">
        <v>118</v>
      </c>
      <c r="O1" s="44" t="s">
        <v>79</v>
      </c>
    </row>
    <row r="2" spans="1:15" ht="16" customHeight="1" thickBot="1" x14ac:dyDescent="0.35">
      <c r="A2" s="169"/>
      <c r="B2" s="167"/>
      <c r="C2" s="167"/>
      <c r="D2" s="167"/>
      <c r="E2" s="167"/>
      <c r="F2" s="167"/>
      <c r="G2" s="45">
        <v>20</v>
      </c>
      <c r="H2" s="46">
        <v>40</v>
      </c>
      <c r="I2" s="45">
        <v>20</v>
      </c>
      <c r="J2" s="46">
        <v>40</v>
      </c>
      <c r="K2" s="45">
        <v>20</v>
      </c>
      <c r="L2" s="46">
        <v>40</v>
      </c>
      <c r="M2" s="167"/>
      <c r="N2" s="167"/>
      <c r="O2" s="47"/>
    </row>
    <row r="3" spans="1:15" ht="14.4" customHeight="1" x14ac:dyDescent="0.3">
      <c r="A3" s="153" t="s">
        <v>81</v>
      </c>
      <c r="B3" s="157">
        <f>COUNTA(C3:C11)</f>
        <v>9</v>
      </c>
      <c r="C3" s="32" t="s">
        <v>27</v>
      </c>
      <c r="D3" s="33" t="s">
        <v>9</v>
      </c>
      <c r="E3" s="34">
        <v>45293</v>
      </c>
      <c r="F3" s="34">
        <v>45299</v>
      </c>
      <c r="G3" s="35">
        <v>81</v>
      </c>
      <c r="H3" s="35">
        <v>183</v>
      </c>
      <c r="I3" s="35">
        <v>98</v>
      </c>
      <c r="J3" s="35">
        <v>46</v>
      </c>
      <c r="K3" s="35">
        <v>57</v>
      </c>
      <c r="L3" s="35">
        <v>275</v>
      </c>
      <c r="M3" s="35">
        <f>G3+H3*2+I3+J3*2+K3+L3*2</f>
        <v>1244</v>
      </c>
      <c r="N3" s="35">
        <f>SUM(G3:L3)</f>
        <v>740</v>
      </c>
      <c r="O3" s="43">
        <f>SUM(M3:M11)</f>
        <v>8288</v>
      </c>
    </row>
    <row r="4" spans="1:15" x14ac:dyDescent="0.3">
      <c r="A4" s="154"/>
      <c r="B4" s="158"/>
      <c r="C4" s="8" t="s">
        <v>28</v>
      </c>
      <c r="D4" s="9" t="s">
        <v>2</v>
      </c>
      <c r="E4" s="10">
        <v>45298</v>
      </c>
      <c r="F4" s="10">
        <v>45302</v>
      </c>
      <c r="G4" s="11">
        <v>166</v>
      </c>
      <c r="H4" s="11">
        <v>290</v>
      </c>
      <c r="I4" s="11">
        <v>12</v>
      </c>
      <c r="J4" s="11">
        <v>72</v>
      </c>
      <c r="K4" s="11">
        <v>86</v>
      </c>
      <c r="L4" s="11">
        <v>102</v>
      </c>
      <c r="M4" s="11">
        <f t="shared" ref="M4:M68" si="0">G4+H4*2+I4+J4*2+K4+L4*2</f>
        <v>1192</v>
      </c>
      <c r="N4" s="11">
        <f t="shared" ref="N4:N68" si="1">SUM(G4:L4)</f>
        <v>728</v>
      </c>
      <c r="O4" s="40"/>
    </row>
    <row r="5" spans="1:15" x14ac:dyDescent="0.3">
      <c r="A5" s="154"/>
      <c r="B5" s="158"/>
      <c r="C5" s="8" t="s">
        <v>7</v>
      </c>
      <c r="D5" s="9" t="s">
        <v>5</v>
      </c>
      <c r="E5" s="10">
        <v>45301</v>
      </c>
      <c r="F5" s="10">
        <v>45305</v>
      </c>
      <c r="G5" s="11">
        <v>121</v>
      </c>
      <c r="H5" s="11">
        <v>150</v>
      </c>
      <c r="I5" s="11"/>
      <c r="J5" s="11">
        <v>12</v>
      </c>
      <c r="K5" s="11">
        <v>196</v>
      </c>
      <c r="L5" s="11">
        <v>75</v>
      </c>
      <c r="M5" s="11">
        <f t="shared" si="0"/>
        <v>791</v>
      </c>
      <c r="N5" s="11">
        <f t="shared" si="1"/>
        <v>554</v>
      </c>
      <c r="O5" s="40"/>
    </row>
    <row r="6" spans="1:15" x14ac:dyDescent="0.3">
      <c r="A6" s="154"/>
      <c r="B6" s="158"/>
      <c r="C6" s="8" t="s">
        <v>29</v>
      </c>
      <c r="D6" s="9" t="s">
        <v>13</v>
      </c>
      <c r="E6" s="10">
        <v>45303</v>
      </c>
      <c r="F6" s="10">
        <v>45305</v>
      </c>
      <c r="G6" s="11">
        <v>112</v>
      </c>
      <c r="H6" s="11">
        <v>67</v>
      </c>
      <c r="I6" s="11"/>
      <c r="J6" s="11">
        <v>30</v>
      </c>
      <c r="K6" s="11">
        <v>15</v>
      </c>
      <c r="L6" s="11">
        <v>7</v>
      </c>
      <c r="M6" s="11">
        <f t="shared" si="0"/>
        <v>335</v>
      </c>
      <c r="N6" s="11">
        <f t="shared" si="1"/>
        <v>231</v>
      </c>
      <c r="O6" s="40"/>
    </row>
    <row r="7" spans="1:15" x14ac:dyDescent="0.3">
      <c r="A7" s="154"/>
      <c r="B7" s="158"/>
      <c r="C7" s="8" t="s">
        <v>15</v>
      </c>
      <c r="D7" s="9" t="s">
        <v>9</v>
      </c>
      <c r="E7" s="10">
        <v>45308</v>
      </c>
      <c r="F7" s="10">
        <v>45314</v>
      </c>
      <c r="G7" s="11">
        <v>85</v>
      </c>
      <c r="H7" s="11">
        <v>244</v>
      </c>
      <c r="I7" s="11">
        <v>84</v>
      </c>
      <c r="J7" s="11">
        <v>11</v>
      </c>
      <c r="K7" s="11">
        <v>44</v>
      </c>
      <c r="L7" s="11">
        <v>225</v>
      </c>
      <c r="M7" s="11">
        <f t="shared" si="0"/>
        <v>1173</v>
      </c>
      <c r="N7" s="11">
        <f t="shared" si="1"/>
        <v>693</v>
      </c>
      <c r="O7" s="40"/>
    </row>
    <row r="8" spans="1:15" x14ac:dyDescent="0.3">
      <c r="A8" s="154"/>
      <c r="B8" s="158"/>
      <c r="C8" s="8" t="s">
        <v>30</v>
      </c>
      <c r="D8" s="9" t="s">
        <v>2</v>
      </c>
      <c r="E8" s="10">
        <v>45308</v>
      </c>
      <c r="F8" s="10">
        <v>45312</v>
      </c>
      <c r="G8" s="11">
        <v>57</v>
      </c>
      <c r="H8" s="11">
        <v>205</v>
      </c>
      <c r="I8" s="11">
        <v>30</v>
      </c>
      <c r="J8" s="11">
        <v>122</v>
      </c>
      <c r="K8" s="11">
        <v>227</v>
      </c>
      <c r="L8" s="11">
        <v>121</v>
      </c>
      <c r="M8" s="11">
        <f t="shared" si="0"/>
        <v>1210</v>
      </c>
      <c r="N8" s="11">
        <f t="shared" si="1"/>
        <v>762</v>
      </c>
      <c r="O8" s="40"/>
    </row>
    <row r="9" spans="1:15" x14ac:dyDescent="0.3">
      <c r="A9" s="154"/>
      <c r="B9" s="158"/>
      <c r="C9" s="8" t="s">
        <v>3</v>
      </c>
      <c r="D9" s="9" t="s">
        <v>2</v>
      </c>
      <c r="E9" s="10">
        <v>45314</v>
      </c>
      <c r="F9" s="10">
        <v>45319</v>
      </c>
      <c r="G9" s="11">
        <v>142</v>
      </c>
      <c r="H9" s="11">
        <v>215</v>
      </c>
      <c r="I9" s="11">
        <v>89</v>
      </c>
      <c r="J9" s="11">
        <v>88</v>
      </c>
      <c r="K9" s="11">
        <v>113</v>
      </c>
      <c r="L9" s="11">
        <v>99</v>
      </c>
      <c r="M9" s="11">
        <f t="shared" si="0"/>
        <v>1148</v>
      </c>
      <c r="N9" s="11">
        <f t="shared" si="1"/>
        <v>746</v>
      </c>
      <c r="O9" s="40"/>
    </row>
    <row r="10" spans="1:15" x14ac:dyDescent="0.3">
      <c r="A10" s="155"/>
      <c r="B10" s="159"/>
      <c r="C10" s="16" t="s">
        <v>31</v>
      </c>
      <c r="D10" s="17" t="s">
        <v>13</v>
      </c>
      <c r="E10" s="18">
        <v>45315</v>
      </c>
      <c r="F10" s="18">
        <v>45316</v>
      </c>
      <c r="G10" s="19">
        <v>60</v>
      </c>
      <c r="H10" s="19">
        <v>48</v>
      </c>
      <c r="I10" s="19"/>
      <c r="J10" s="19"/>
      <c r="K10" s="19"/>
      <c r="L10" s="19"/>
      <c r="M10" s="19">
        <f t="shared" si="0"/>
        <v>156</v>
      </c>
      <c r="N10" s="19">
        <f t="shared" si="1"/>
        <v>108</v>
      </c>
      <c r="O10" s="41"/>
    </row>
    <row r="11" spans="1:15" ht="15.65" thickBot="1" x14ac:dyDescent="0.35">
      <c r="A11" s="156"/>
      <c r="B11" s="160"/>
      <c r="C11" s="24" t="s">
        <v>17</v>
      </c>
      <c r="D11" s="25" t="s">
        <v>2</v>
      </c>
      <c r="E11" s="26">
        <v>45319</v>
      </c>
      <c r="F11" s="26">
        <v>45323</v>
      </c>
      <c r="G11" s="27">
        <v>137</v>
      </c>
      <c r="H11" s="27">
        <v>168</v>
      </c>
      <c r="I11" s="27">
        <v>26</v>
      </c>
      <c r="J11" s="27">
        <v>114</v>
      </c>
      <c r="K11" s="27">
        <v>104</v>
      </c>
      <c r="L11" s="27">
        <v>104</v>
      </c>
      <c r="M11" s="27">
        <f t="shared" si="0"/>
        <v>1039</v>
      </c>
      <c r="N11" s="27">
        <f t="shared" si="1"/>
        <v>653</v>
      </c>
      <c r="O11" s="42"/>
    </row>
    <row r="12" spans="1:15" x14ac:dyDescent="0.3">
      <c r="A12" s="149" t="s">
        <v>82</v>
      </c>
      <c r="B12" s="161">
        <f>COUNTA(C12:C20)</f>
        <v>9</v>
      </c>
      <c r="C12" s="20" t="s">
        <v>32</v>
      </c>
      <c r="D12" s="21" t="s">
        <v>5</v>
      </c>
      <c r="E12" s="22">
        <v>45327</v>
      </c>
      <c r="F12" s="22">
        <v>45329</v>
      </c>
      <c r="G12" s="23">
        <v>146</v>
      </c>
      <c r="H12" s="23">
        <v>143</v>
      </c>
      <c r="I12" s="23"/>
      <c r="J12" s="23"/>
      <c r="K12" s="23"/>
      <c r="L12" s="23">
        <v>50</v>
      </c>
      <c r="M12" s="23">
        <f t="shared" si="0"/>
        <v>532</v>
      </c>
      <c r="N12" s="23">
        <f>SUM(G12:L12)</f>
        <v>339</v>
      </c>
      <c r="O12" s="43">
        <f>SUM(M12:M20)</f>
        <v>8833</v>
      </c>
    </row>
    <row r="13" spans="1:15" x14ac:dyDescent="0.3">
      <c r="A13" s="150"/>
      <c r="B13" s="162"/>
      <c r="C13" s="12" t="s">
        <v>30</v>
      </c>
      <c r="D13" s="13" t="s">
        <v>2</v>
      </c>
      <c r="E13" s="14">
        <v>45327</v>
      </c>
      <c r="F13" s="14">
        <v>45333</v>
      </c>
      <c r="G13" s="15">
        <v>164</v>
      </c>
      <c r="H13" s="15">
        <v>241</v>
      </c>
      <c r="I13" s="15">
        <v>44</v>
      </c>
      <c r="J13" s="15">
        <v>125</v>
      </c>
      <c r="K13" s="15">
        <v>49</v>
      </c>
      <c r="L13" s="15">
        <v>141</v>
      </c>
      <c r="M13" s="15">
        <f t="shared" si="0"/>
        <v>1271</v>
      </c>
      <c r="N13" s="15">
        <f t="shared" si="1"/>
        <v>764</v>
      </c>
      <c r="O13" s="40"/>
    </row>
    <row r="14" spans="1:15" x14ac:dyDescent="0.3">
      <c r="A14" s="150"/>
      <c r="B14" s="162"/>
      <c r="C14" s="12" t="s">
        <v>27</v>
      </c>
      <c r="D14" s="13" t="s">
        <v>9</v>
      </c>
      <c r="E14" s="14">
        <v>45332</v>
      </c>
      <c r="F14" s="14">
        <v>45338</v>
      </c>
      <c r="G14" s="15">
        <v>139</v>
      </c>
      <c r="H14" s="15">
        <v>248</v>
      </c>
      <c r="I14" s="15">
        <v>36</v>
      </c>
      <c r="J14" s="15">
        <v>17</v>
      </c>
      <c r="K14" s="15">
        <v>11</v>
      </c>
      <c r="L14" s="15">
        <v>95</v>
      </c>
      <c r="M14" s="15">
        <f t="shared" si="0"/>
        <v>906</v>
      </c>
      <c r="N14" s="15">
        <f t="shared" si="1"/>
        <v>546</v>
      </c>
      <c r="O14" s="40"/>
    </row>
    <row r="15" spans="1:15" x14ac:dyDescent="0.3">
      <c r="A15" s="150"/>
      <c r="B15" s="162"/>
      <c r="C15" s="12" t="s">
        <v>3</v>
      </c>
      <c r="D15" s="13" t="s">
        <v>2</v>
      </c>
      <c r="E15" s="14">
        <v>45332</v>
      </c>
      <c r="F15" s="14">
        <v>45338</v>
      </c>
      <c r="G15" s="15">
        <v>305</v>
      </c>
      <c r="H15" s="15">
        <v>185</v>
      </c>
      <c r="I15" s="15">
        <v>108</v>
      </c>
      <c r="J15" s="15">
        <v>47</v>
      </c>
      <c r="K15" s="15">
        <v>143</v>
      </c>
      <c r="L15" s="15">
        <v>194</v>
      </c>
      <c r="M15" s="15">
        <f t="shared" si="0"/>
        <v>1408</v>
      </c>
      <c r="N15" s="15">
        <f t="shared" si="1"/>
        <v>982</v>
      </c>
      <c r="O15" s="40"/>
    </row>
    <row r="16" spans="1:15" x14ac:dyDescent="0.3">
      <c r="A16" s="150"/>
      <c r="B16" s="162"/>
      <c r="C16" s="12" t="s">
        <v>29</v>
      </c>
      <c r="D16" s="13" t="s">
        <v>13</v>
      </c>
      <c r="E16" s="14">
        <v>45338</v>
      </c>
      <c r="F16" s="14">
        <v>45342</v>
      </c>
      <c r="G16" s="15">
        <v>124</v>
      </c>
      <c r="H16" s="15">
        <v>38</v>
      </c>
      <c r="I16" s="15">
        <v>2</v>
      </c>
      <c r="J16" s="15">
        <v>31</v>
      </c>
      <c r="K16" s="15">
        <v>171</v>
      </c>
      <c r="L16" s="15">
        <v>72</v>
      </c>
      <c r="M16" s="15">
        <f t="shared" si="0"/>
        <v>579</v>
      </c>
      <c r="N16" s="15">
        <f t="shared" si="1"/>
        <v>438</v>
      </c>
      <c r="O16" s="40"/>
    </row>
    <row r="17" spans="1:15" x14ac:dyDescent="0.3">
      <c r="A17" s="150"/>
      <c r="B17" s="162"/>
      <c r="C17" s="12" t="s">
        <v>15</v>
      </c>
      <c r="D17" s="13" t="s">
        <v>9</v>
      </c>
      <c r="E17" s="14">
        <v>45340</v>
      </c>
      <c r="F17" s="14">
        <v>45344</v>
      </c>
      <c r="G17" s="15">
        <v>84</v>
      </c>
      <c r="H17" s="15">
        <v>195</v>
      </c>
      <c r="I17" s="15">
        <v>42</v>
      </c>
      <c r="J17" s="15">
        <v>1</v>
      </c>
      <c r="K17" s="15">
        <v>4</v>
      </c>
      <c r="L17" s="15">
        <v>185</v>
      </c>
      <c r="M17" s="15">
        <f t="shared" si="0"/>
        <v>892</v>
      </c>
      <c r="N17" s="15">
        <f t="shared" si="1"/>
        <v>511</v>
      </c>
      <c r="O17" s="40"/>
    </row>
    <row r="18" spans="1:15" x14ac:dyDescent="0.3">
      <c r="A18" s="150"/>
      <c r="B18" s="162"/>
      <c r="C18" s="12" t="s">
        <v>7</v>
      </c>
      <c r="D18" s="13" t="s">
        <v>5</v>
      </c>
      <c r="E18" s="14">
        <v>45343</v>
      </c>
      <c r="F18" s="14">
        <v>45348</v>
      </c>
      <c r="G18" s="15">
        <v>229</v>
      </c>
      <c r="H18" s="15">
        <v>81</v>
      </c>
      <c r="I18" s="15"/>
      <c r="J18" s="15">
        <v>71</v>
      </c>
      <c r="K18" s="15">
        <v>234</v>
      </c>
      <c r="L18" s="15">
        <v>32</v>
      </c>
      <c r="M18" s="15">
        <f t="shared" si="0"/>
        <v>831</v>
      </c>
      <c r="N18" s="15">
        <f t="shared" si="1"/>
        <v>647</v>
      </c>
      <c r="O18" s="40"/>
    </row>
    <row r="19" spans="1:15" x14ac:dyDescent="0.3">
      <c r="A19" s="151"/>
      <c r="B19" s="163"/>
      <c r="C19" s="28" t="s">
        <v>17</v>
      </c>
      <c r="D19" s="29" t="s">
        <v>2</v>
      </c>
      <c r="E19" s="30">
        <v>45344</v>
      </c>
      <c r="F19" s="30">
        <v>45348</v>
      </c>
      <c r="G19" s="31">
        <v>200</v>
      </c>
      <c r="H19" s="31">
        <v>232</v>
      </c>
      <c r="I19" s="31">
        <v>55</v>
      </c>
      <c r="J19" s="31">
        <v>105</v>
      </c>
      <c r="K19" s="31"/>
      <c r="L19" s="31"/>
      <c r="M19" s="31">
        <f t="shared" si="0"/>
        <v>929</v>
      </c>
      <c r="N19" s="31">
        <f t="shared" si="1"/>
        <v>592</v>
      </c>
      <c r="O19" s="41"/>
    </row>
    <row r="20" spans="1:15" ht="15.65" thickBot="1" x14ac:dyDescent="0.35">
      <c r="A20" s="152"/>
      <c r="B20" s="164"/>
      <c r="C20" s="36" t="s">
        <v>28</v>
      </c>
      <c r="D20" s="37" t="s">
        <v>2</v>
      </c>
      <c r="E20" s="38">
        <v>45349</v>
      </c>
      <c r="F20" s="38">
        <v>45354</v>
      </c>
      <c r="G20" s="39">
        <v>248</v>
      </c>
      <c r="H20" s="39">
        <v>215</v>
      </c>
      <c r="I20" s="39">
        <v>36</v>
      </c>
      <c r="J20" s="39">
        <v>123</v>
      </c>
      <c r="K20" s="39">
        <v>201</v>
      </c>
      <c r="L20" s="39">
        <v>162</v>
      </c>
      <c r="M20" s="39">
        <f t="shared" si="0"/>
        <v>1485</v>
      </c>
      <c r="N20" s="39">
        <f t="shared" si="1"/>
        <v>985</v>
      </c>
      <c r="O20" s="42"/>
    </row>
    <row r="21" spans="1:15" ht="14.4" customHeight="1" x14ac:dyDescent="0.3">
      <c r="A21" s="153" t="s">
        <v>83</v>
      </c>
      <c r="B21" s="157">
        <f>COUNTA(C21:C32)</f>
        <v>12</v>
      </c>
      <c r="C21" s="32" t="s">
        <v>33</v>
      </c>
      <c r="D21" s="33" t="s">
        <v>5</v>
      </c>
      <c r="E21" s="34">
        <v>45353</v>
      </c>
      <c r="F21" s="34">
        <v>45357</v>
      </c>
      <c r="G21" s="35">
        <v>173</v>
      </c>
      <c r="H21" s="35">
        <v>89</v>
      </c>
      <c r="I21" s="35">
        <v>26</v>
      </c>
      <c r="J21" s="35">
        <v>24</v>
      </c>
      <c r="K21" s="35"/>
      <c r="L21" s="35">
        <v>6</v>
      </c>
      <c r="M21" s="35">
        <f t="shared" si="0"/>
        <v>437</v>
      </c>
      <c r="N21" s="35">
        <f t="shared" si="1"/>
        <v>318</v>
      </c>
      <c r="O21" s="43">
        <f>SUM(M21:M32)</f>
        <v>11055</v>
      </c>
    </row>
    <row r="22" spans="1:15" x14ac:dyDescent="0.3">
      <c r="A22" s="154"/>
      <c r="B22" s="158"/>
      <c r="C22" s="8" t="s">
        <v>34</v>
      </c>
      <c r="D22" s="9" t="s">
        <v>2</v>
      </c>
      <c r="E22" s="10">
        <v>45354</v>
      </c>
      <c r="F22" s="10">
        <v>45358</v>
      </c>
      <c r="G22" s="11">
        <v>287</v>
      </c>
      <c r="H22" s="11">
        <v>240</v>
      </c>
      <c r="I22" s="11">
        <v>35</v>
      </c>
      <c r="J22" s="11">
        <v>15</v>
      </c>
      <c r="K22" s="11">
        <v>79</v>
      </c>
      <c r="L22" s="11"/>
      <c r="M22" s="11">
        <f t="shared" si="0"/>
        <v>911</v>
      </c>
      <c r="N22" s="11">
        <f t="shared" si="1"/>
        <v>656</v>
      </c>
      <c r="O22" s="40"/>
    </row>
    <row r="23" spans="1:15" x14ac:dyDescent="0.3">
      <c r="A23" s="154"/>
      <c r="B23" s="158"/>
      <c r="C23" s="8" t="s">
        <v>35</v>
      </c>
      <c r="D23" s="9" t="s">
        <v>9</v>
      </c>
      <c r="E23" s="10">
        <v>45358</v>
      </c>
      <c r="F23" s="10">
        <v>45367</v>
      </c>
      <c r="G23" s="11">
        <v>250</v>
      </c>
      <c r="H23" s="11">
        <v>431</v>
      </c>
      <c r="I23" s="11">
        <v>100</v>
      </c>
      <c r="J23" s="11">
        <v>25</v>
      </c>
      <c r="K23" s="11">
        <v>82</v>
      </c>
      <c r="L23" s="11">
        <v>268</v>
      </c>
      <c r="M23" s="11">
        <f t="shared" si="0"/>
        <v>1880</v>
      </c>
      <c r="N23" s="11">
        <f t="shared" si="1"/>
        <v>1156</v>
      </c>
      <c r="O23" s="40"/>
    </row>
    <row r="24" spans="1:15" x14ac:dyDescent="0.3">
      <c r="A24" s="154"/>
      <c r="B24" s="158"/>
      <c r="C24" s="8" t="s">
        <v>3</v>
      </c>
      <c r="D24" s="9" t="s">
        <v>2</v>
      </c>
      <c r="E24" s="10">
        <v>45358</v>
      </c>
      <c r="F24" s="10">
        <v>45366</v>
      </c>
      <c r="G24" s="11">
        <v>161</v>
      </c>
      <c r="H24" s="11">
        <v>202</v>
      </c>
      <c r="I24" s="11">
        <v>8</v>
      </c>
      <c r="J24" s="11">
        <v>158</v>
      </c>
      <c r="K24" s="11">
        <v>230</v>
      </c>
      <c r="L24" s="11">
        <v>26</v>
      </c>
      <c r="M24" s="11">
        <f t="shared" si="0"/>
        <v>1171</v>
      </c>
      <c r="N24" s="11">
        <f t="shared" si="1"/>
        <v>785</v>
      </c>
      <c r="O24" s="40"/>
    </row>
    <row r="25" spans="1:15" x14ac:dyDescent="0.3">
      <c r="A25" s="154"/>
      <c r="B25" s="158"/>
      <c r="C25" s="8" t="s">
        <v>29</v>
      </c>
      <c r="D25" s="9" t="s">
        <v>13</v>
      </c>
      <c r="E25" s="10">
        <v>45371</v>
      </c>
      <c r="F25" s="10">
        <v>45375</v>
      </c>
      <c r="G25" s="11">
        <v>115</v>
      </c>
      <c r="H25" s="11">
        <v>106</v>
      </c>
      <c r="I25" s="11"/>
      <c r="J25" s="11">
        <v>32</v>
      </c>
      <c r="K25" s="11">
        <v>142</v>
      </c>
      <c r="L25" s="11">
        <v>29</v>
      </c>
      <c r="M25" s="11">
        <f t="shared" si="0"/>
        <v>591</v>
      </c>
      <c r="N25" s="11">
        <f t="shared" si="1"/>
        <v>424</v>
      </c>
      <c r="O25" s="40"/>
    </row>
    <row r="26" spans="1:15" x14ac:dyDescent="0.3">
      <c r="A26" s="154"/>
      <c r="B26" s="158"/>
      <c r="C26" s="8" t="s">
        <v>30</v>
      </c>
      <c r="D26" s="9" t="s">
        <v>2</v>
      </c>
      <c r="E26" s="10">
        <v>45367</v>
      </c>
      <c r="F26" s="10">
        <v>45373</v>
      </c>
      <c r="G26" s="11">
        <v>239</v>
      </c>
      <c r="H26" s="11">
        <v>159</v>
      </c>
      <c r="I26" s="11">
        <v>87</v>
      </c>
      <c r="J26" s="11">
        <v>55</v>
      </c>
      <c r="K26" s="11">
        <v>60</v>
      </c>
      <c r="L26" s="11">
        <v>160</v>
      </c>
      <c r="M26" s="11">
        <f t="shared" si="0"/>
        <v>1134</v>
      </c>
      <c r="N26" s="11">
        <f t="shared" si="1"/>
        <v>760</v>
      </c>
      <c r="O26" s="40"/>
    </row>
    <row r="27" spans="1:15" x14ac:dyDescent="0.3">
      <c r="A27" s="154"/>
      <c r="B27" s="158"/>
      <c r="C27" s="8" t="s">
        <v>36</v>
      </c>
      <c r="D27" s="9" t="s">
        <v>5</v>
      </c>
      <c r="E27" s="10">
        <v>45368</v>
      </c>
      <c r="F27" s="10">
        <v>45371</v>
      </c>
      <c r="G27" s="11">
        <v>181</v>
      </c>
      <c r="H27" s="11">
        <v>56</v>
      </c>
      <c r="I27" s="11">
        <v>2</v>
      </c>
      <c r="J27" s="11">
        <v>6</v>
      </c>
      <c r="K27" s="11"/>
      <c r="L27" s="11">
        <v>50</v>
      </c>
      <c r="M27" s="11">
        <f t="shared" si="0"/>
        <v>407</v>
      </c>
      <c r="N27" s="11">
        <f t="shared" si="1"/>
        <v>295</v>
      </c>
      <c r="O27" s="40"/>
    </row>
    <row r="28" spans="1:15" x14ac:dyDescent="0.3">
      <c r="A28" s="154"/>
      <c r="B28" s="158"/>
      <c r="C28" s="8" t="s">
        <v>27</v>
      </c>
      <c r="D28" s="9" t="s">
        <v>9</v>
      </c>
      <c r="E28" s="10">
        <v>45373</v>
      </c>
      <c r="F28" s="10">
        <v>45376</v>
      </c>
      <c r="G28" s="11">
        <v>77</v>
      </c>
      <c r="H28" s="11">
        <v>40</v>
      </c>
      <c r="I28" s="11">
        <v>14</v>
      </c>
      <c r="J28" s="11">
        <v>31</v>
      </c>
      <c r="K28" s="11">
        <v>82</v>
      </c>
      <c r="L28" s="11">
        <v>181</v>
      </c>
      <c r="M28" s="11">
        <f t="shared" si="0"/>
        <v>677</v>
      </c>
      <c r="N28" s="11">
        <f t="shared" si="1"/>
        <v>425</v>
      </c>
      <c r="O28" s="40"/>
    </row>
    <row r="29" spans="1:15" x14ac:dyDescent="0.3">
      <c r="A29" s="154"/>
      <c r="B29" s="158"/>
      <c r="C29" s="8" t="s">
        <v>17</v>
      </c>
      <c r="D29" s="9" t="s">
        <v>2</v>
      </c>
      <c r="E29" s="10">
        <v>45376</v>
      </c>
      <c r="F29" s="10">
        <v>45378</v>
      </c>
      <c r="G29" s="11">
        <v>149</v>
      </c>
      <c r="H29" s="11">
        <v>250</v>
      </c>
      <c r="I29" s="11"/>
      <c r="J29" s="11"/>
      <c r="K29" s="11"/>
      <c r="L29" s="11"/>
      <c r="M29" s="11">
        <f t="shared" si="0"/>
        <v>649</v>
      </c>
      <c r="N29" s="11">
        <f t="shared" si="1"/>
        <v>399</v>
      </c>
      <c r="O29" s="40"/>
    </row>
    <row r="30" spans="1:15" x14ac:dyDescent="0.3">
      <c r="A30" s="154"/>
      <c r="B30" s="158"/>
      <c r="C30" s="8" t="s">
        <v>37</v>
      </c>
      <c r="D30" s="9" t="s">
        <v>2</v>
      </c>
      <c r="E30" s="10">
        <v>45378</v>
      </c>
      <c r="F30" s="10">
        <v>45380</v>
      </c>
      <c r="G30" s="11">
        <v>244</v>
      </c>
      <c r="H30" s="11">
        <v>190</v>
      </c>
      <c r="I30" s="11"/>
      <c r="J30" s="11"/>
      <c r="K30" s="11"/>
      <c r="L30" s="11">
        <v>100</v>
      </c>
      <c r="M30" s="11">
        <f t="shared" si="0"/>
        <v>824</v>
      </c>
      <c r="N30" s="11">
        <f t="shared" si="1"/>
        <v>534</v>
      </c>
      <c r="O30" s="40"/>
    </row>
    <row r="31" spans="1:15" x14ac:dyDescent="0.3">
      <c r="A31" s="155"/>
      <c r="B31" s="159"/>
      <c r="C31" s="16" t="s">
        <v>28</v>
      </c>
      <c r="D31" s="17" t="s">
        <v>2</v>
      </c>
      <c r="E31" s="18">
        <v>45380</v>
      </c>
      <c r="F31" s="18">
        <v>45388</v>
      </c>
      <c r="G31" s="19">
        <v>299</v>
      </c>
      <c r="H31" s="19">
        <v>160</v>
      </c>
      <c r="I31" s="19">
        <v>164</v>
      </c>
      <c r="J31" s="19">
        <v>114</v>
      </c>
      <c r="K31" s="19">
        <v>297</v>
      </c>
      <c r="L31" s="19">
        <v>217</v>
      </c>
      <c r="M31" s="19">
        <f t="shared" si="0"/>
        <v>1742</v>
      </c>
      <c r="N31" s="19">
        <f t="shared" si="1"/>
        <v>1251</v>
      </c>
      <c r="O31" s="41"/>
    </row>
    <row r="32" spans="1:15" ht="15.65" thickBot="1" x14ac:dyDescent="0.35">
      <c r="A32" s="156"/>
      <c r="B32" s="160"/>
      <c r="C32" s="24" t="s">
        <v>32</v>
      </c>
      <c r="D32" s="25" t="s">
        <v>5</v>
      </c>
      <c r="E32" s="26">
        <v>45381</v>
      </c>
      <c r="F32" s="26">
        <v>45385</v>
      </c>
      <c r="G32" s="27">
        <v>118</v>
      </c>
      <c r="H32" s="27">
        <v>56</v>
      </c>
      <c r="I32" s="27"/>
      <c r="J32" s="27">
        <v>5</v>
      </c>
      <c r="K32" s="27">
        <v>4</v>
      </c>
      <c r="L32" s="27">
        <v>194</v>
      </c>
      <c r="M32" s="27">
        <f t="shared" si="0"/>
        <v>632</v>
      </c>
      <c r="N32" s="27">
        <f t="shared" si="1"/>
        <v>377</v>
      </c>
      <c r="O32" s="42"/>
    </row>
    <row r="33" spans="1:15" x14ac:dyDescent="0.3">
      <c r="A33" s="149" t="s">
        <v>84</v>
      </c>
      <c r="B33" s="161">
        <f>COUNTA(C33:C42)</f>
        <v>10</v>
      </c>
      <c r="C33" s="20" t="s">
        <v>3</v>
      </c>
      <c r="D33" s="21" t="s">
        <v>2</v>
      </c>
      <c r="E33" s="22">
        <v>45385</v>
      </c>
      <c r="F33" s="22">
        <v>45391</v>
      </c>
      <c r="G33" s="23">
        <v>335</v>
      </c>
      <c r="H33" s="23">
        <v>132</v>
      </c>
      <c r="I33" s="23"/>
      <c r="J33" s="23"/>
      <c r="K33" s="23">
        <v>235</v>
      </c>
      <c r="L33" s="23">
        <v>301</v>
      </c>
      <c r="M33" s="23">
        <f t="shared" si="0"/>
        <v>1436</v>
      </c>
      <c r="N33" s="23">
        <f t="shared" si="1"/>
        <v>1003</v>
      </c>
      <c r="O33" s="43">
        <f>SUM(M33:M42)</f>
        <v>11436</v>
      </c>
    </row>
    <row r="34" spans="1:15" x14ac:dyDescent="0.3">
      <c r="A34" s="150"/>
      <c r="B34" s="162"/>
      <c r="C34" s="12" t="s">
        <v>6</v>
      </c>
      <c r="D34" s="13" t="s">
        <v>2</v>
      </c>
      <c r="E34" s="14">
        <v>45388</v>
      </c>
      <c r="F34" s="14">
        <v>45395</v>
      </c>
      <c r="G34" s="15">
        <v>223</v>
      </c>
      <c r="H34" s="15">
        <v>132</v>
      </c>
      <c r="I34" s="15">
        <v>108</v>
      </c>
      <c r="J34" s="15">
        <v>99</v>
      </c>
      <c r="K34" s="15">
        <v>179</v>
      </c>
      <c r="L34" s="15">
        <v>70</v>
      </c>
      <c r="M34" s="15">
        <f t="shared" si="0"/>
        <v>1112</v>
      </c>
      <c r="N34" s="15">
        <f t="shared" si="1"/>
        <v>811</v>
      </c>
      <c r="O34" s="40"/>
    </row>
    <row r="35" spans="1:15" x14ac:dyDescent="0.3">
      <c r="A35" s="150"/>
      <c r="B35" s="162"/>
      <c r="C35" s="12" t="s">
        <v>15</v>
      </c>
      <c r="D35" s="13" t="s">
        <v>9</v>
      </c>
      <c r="E35" s="14">
        <v>45391</v>
      </c>
      <c r="F35" s="14">
        <v>45396</v>
      </c>
      <c r="G35" s="15">
        <v>46</v>
      </c>
      <c r="H35" s="15">
        <v>138</v>
      </c>
      <c r="I35" s="15">
        <v>29</v>
      </c>
      <c r="J35" s="15">
        <v>21</v>
      </c>
      <c r="K35" s="15">
        <v>69</v>
      </c>
      <c r="L35" s="15">
        <v>156</v>
      </c>
      <c r="M35" s="15">
        <f t="shared" si="0"/>
        <v>774</v>
      </c>
      <c r="N35" s="15">
        <f t="shared" si="1"/>
        <v>459</v>
      </c>
      <c r="O35" s="40"/>
    </row>
    <row r="36" spans="1:15" x14ac:dyDescent="0.3">
      <c r="A36" s="150"/>
      <c r="B36" s="162"/>
      <c r="C36" s="12" t="s">
        <v>30</v>
      </c>
      <c r="D36" s="13" t="s">
        <v>2</v>
      </c>
      <c r="E36" s="14">
        <v>45395</v>
      </c>
      <c r="F36" s="14">
        <v>45400</v>
      </c>
      <c r="G36" s="15">
        <v>129</v>
      </c>
      <c r="H36" s="15">
        <v>268</v>
      </c>
      <c r="I36" s="15"/>
      <c r="J36" s="15">
        <v>5</v>
      </c>
      <c r="K36" s="15">
        <v>421</v>
      </c>
      <c r="L36" s="15">
        <v>196</v>
      </c>
      <c r="M36" s="15">
        <f t="shared" si="0"/>
        <v>1488</v>
      </c>
      <c r="N36" s="15">
        <f t="shared" si="1"/>
        <v>1019</v>
      </c>
      <c r="O36" s="40"/>
    </row>
    <row r="37" spans="1:15" x14ac:dyDescent="0.3">
      <c r="A37" s="150"/>
      <c r="B37" s="162"/>
      <c r="C37" s="53" t="s">
        <v>33</v>
      </c>
      <c r="D37" s="13" t="s">
        <v>5</v>
      </c>
      <c r="E37" s="14">
        <v>45396</v>
      </c>
      <c r="F37" s="14">
        <v>45403</v>
      </c>
      <c r="G37" s="15">
        <v>221</v>
      </c>
      <c r="H37" s="15">
        <v>185</v>
      </c>
      <c r="I37" s="15">
        <v>3</v>
      </c>
      <c r="J37" s="15"/>
      <c r="K37" s="15">
        <v>506</v>
      </c>
      <c r="L37" s="15">
        <v>127</v>
      </c>
      <c r="M37" s="15">
        <f t="shared" si="0"/>
        <v>1354</v>
      </c>
      <c r="N37" s="15">
        <f t="shared" si="1"/>
        <v>1042</v>
      </c>
      <c r="O37" s="40"/>
    </row>
    <row r="38" spans="1:15" x14ac:dyDescent="0.3">
      <c r="A38" s="150"/>
      <c r="B38" s="162"/>
      <c r="C38" s="12" t="s">
        <v>25</v>
      </c>
      <c r="D38" s="13" t="s">
        <v>13</v>
      </c>
      <c r="E38" s="14">
        <v>45400</v>
      </c>
      <c r="F38" s="14">
        <v>45403</v>
      </c>
      <c r="G38" s="15">
        <v>20</v>
      </c>
      <c r="H38" s="15">
        <v>74</v>
      </c>
      <c r="I38" s="15"/>
      <c r="J38" s="15">
        <v>1</v>
      </c>
      <c r="K38" s="15">
        <v>111</v>
      </c>
      <c r="L38" s="15">
        <v>98</v>
      </c>
      <c r="M38" s="15">
        <f t="shared" si="0"/>
        <v>477</v>
      </c>
      <c r="N38" s="15">
        <f t="shared" si="1"/>
        <v>304</v>
      </c>
      <c r="O38" s="40"/>
    </row>
    <row r="39" spans="1:15" x14ac:dyDescent="0.3">
      <c r="A39" s="150"/>
      <c r="B39" s="162"/>
      <c r="C39" s="12" t="s">
        <v>8</v>
      </c>
      <c r="D39" s="13" t="s">
        <v>9</v>
      </c>
      <c r="E39" s="14">
        <v>45403</v>
      </c>
      <c r="F39" s="14">
        <v>45410</v>
      </c>
      <c r="G39" s="15">
        <v>100</v>
      </c>
      <c r="H39" s="15">
        <v>236</v>
      </c>
      <c r="I39" s="15">
        <v>55</v>
      </c>
      <c r="J39" s="15">
        <v>3</v>
      </c>
      <c r="K39" s="15">
        <v>142</v>
      </c>
      <c r="L39" s="15">
        <v>298</v>
      </c>
      <c r="M39" s="15">
        <f t="shared" si="0"/>
        <v>1371</v>
      </c>
      <c r="N39" s="15">
        <f t="shared" si="1"/>
        <v>834</v>
      </c>
      <c r="O39" s="40"/>
    </row>
    <row r="40" spans="1:15" x14ac:dyDescent="0.3">
      <c r="A40" s="150"/>
      <c r="B40" s="162"/>
      <c r="C40" s="12" t="s">
        <v>28</v>
      </c>
      <c r="D40" s="13" t="s">
        <v>2</v>
      </c>
      <c r="E40" s="14">
        <v>45406</v>
      </c>
      <c r="F40" s="14">
        <v>45410</v>
      </c>
      <c r="G40" s="15">
        <v>262</v>
      </c>
      <c r="H40" s="15">
        <v>195</v>
      </c>
      <c r="I40" s="15">
        <v>80</v>
      </c>
      <c r="J40" s="15">
        <v>72</v>
      </c>
      <c r="K40" s="15">
        <v>294</v>
      </c>
      <c r="L40" s="15">
        <v>132</v>
      </c>
      <c r="M40" s="15">
        <f t="shared" si="0"/>
        <v>1434</v>
      </c>
      <c r="N40" s="15">
        <f t="shared" si="1"/>
        <v>1035</v>
      </c>
      <c r="O40" s="40"/>
    </row>
    <row r="41" spans="1:15" x14ac:dyDescent="0.3">
      <c r="A41" s="151"/>
      <c r="B41" s="163"/>
      <c r="C41" s="28" t="s">
        <v>36</v>
      </c>
      <c r="D41" s="29" t="s">
        <v>5</v>
      </c>
      <c r="E41" s="30">
        <v>45410</v>
      </c>
      <c r="F41" s="30">
        <v>45416</v>
      </c>
      <c r="G41" s="31">
        <v>119</v>
      </c>
      <c r="H41" s="31">
        <v>101</v>
      </c>
      <c r="I41" s="31"/>
      <c r="J41" s="31"/>
      <c r="K41" s="31"/>
      <c r="L41" s="31">
        <v>181</v>
      </c>
      <c r="M41" s="31">
        <f t="shared" si="0"/>
        <v>683</v>
      </c>
      <c r="N41" s="31">
        <f t="shared" si="1"/>
        <v>401</v>
      </c>
      <c r="O41" s="41"/>
    </row>
    <row r="42" spans="1:15" ht="15.65" thickBot="1" x14ac:dyDescent="0.35">
      <c r="A42" s="152"/>
      <c r="B42" s="164"/>
      <c r="C42" s="36" t="s">
        <v>33</v>
      </c>
      <c r="D42" s="37" t="s">
        <v>5</v>
      </c>
      <c r="E42" s="38">
        <v>45412</v>
      </c>
      <c r="F42" s="38">
        <v>45425</v>
      </c>
      <c r="G42" s="39">
        <v>273</v>
      </c>
      <c r="H42" s="39">
        <v>119</v>
      </c>
      <c r="I42" s="39">
        <v>26</v>
      </c>
      <c r="J42" s="39">
        <v>23</v>
      </c>
      <c r="K42" s="39">
        <v>472</v>
      </c>
      <c r="L42" s="39">
        <v>126</v>
      </c>
      <c r="M42" s="39">
        <f t="shared" si="0"/>
        <v>1307</v>
      </c>
      <c r="N42" s="39">
        <f t="shared" si="1"/>
        <v>1039</v>
      </c>
      <c r="O42" s="42"/>
    </row>
    <row r="43" spans="1:15" x14ac:dyDescent="0.3">
      <c r="A43" s="153" t="s">
        <v>85</v>
      </c>
      <c r="B43" s="157">
        <f>COUNTA(C43:C52)</f>
        <v>10</v>
      </c>
      <c r="C43" s="32" t="s">
        <v>38</v>
      </c>
      <c r="D43" s="33" t="s">
        <v>13</v>
      </c>
      <c r="E43" s="34">
        <v>45415</v>
      </c>
      <c r="F43" s="34">
        <v>45417</v>
      </c>
      <c r="G43" s="35">
        <v>131</v>
      </c>
      <c r="H43" s="35">
        <v>82</v>
      </c>
      <c r="I43" s="35"/>
      <c r="J43" s="35"/>
      <c r="K43" s="35">
        <v>10</v>
      </c>
      <c r="L43" s="35">
        <v>71</v>
      </c>
      <c r="M43" s="35">
        <f t="shared" si="0"/>
        <v>447</v>
      </c>
      <c r="N43" s="35">
        <f t="shared" si="1"/>
        <v>294</v>
      </c>
      <c r="O43" s="43">
        <f>SUM(M43:M52)</f>
        <v>9569</v>
      </c>
    </row>
    <row r="44" spans="1:15" x14ac:dyDescent="0.3">
      <c r="A44" s="154"/>
      <c r="B44" s="158"/>
      <c r="C44" s="8" t="s">
        <v>39</v>
      </c>
      <c r="D44" s="9" t="s">
        <v>40</v>
      </c>
      <c r="E44" s="10">
        <v>45416</v>
      </c>
      <c r="F44" s="10">
        <v>45417</v>
      </c>
      <c r="G44" s="11"/>
      <c r="H44" s="11">
        <v>10</v>
      </c>
      <c r="I44" s="11"/>
      <c r="J44" s="11"/>
      <c r="K44" s="11"/>
      <c r="L44" s="11"/>
      <c r="M44" s="11">
        <f t="shared" si="0"/>
        <v>20</v>
      </c>
      <c r="N44" s="11">
        <f t="shared" si="1"/>
        <v>10</v>
      </c>
      <c r="O44" s="40"/>
    </row>
    <row r="45" spans="1:15" x14ac:dyDescent="0.3">
      <c r="A45" s="154"/>
      <c r="B45" s="158"/>
      <c r="C45" s="8" t="s">
        <v>6</v>
      </c>
      <c r="D45" s="9" t="s">
        <v>2</v>
      </c>
      <c r="E45" s="10">
        <v>45416</v>
      </c>
      <c r="F45" s="10">
        <v>45424</v>
      </c>
      <c r="G45" s="11">
        <v>374</v>
      </c>
      <c r="H45" s="11">
        <v>291</v>
      </c>
      <c r="I45" s="11">
        <v>22</v>
      </c>
      <c r="J45" s="11">
        <v>201</v>
      </c>
      <c r="K45" s="11">
        <v>126</v>
      </c>
      <c r="L45" s="11">
        <v>94</v>
      </c>
      <c r="M45" s="11">
        <f t="shared" si="0"/>
        <v>1694</v>
      </c>
      <c r="N45" s="11">
        <f t="shared" si="1"/>
        <v>1108</v>
      </c>
      <c r="O45" s="40"/>
    </row>
    <row r="46" spans="1:15" x14ac:dyDescent="0.3">
      <c r="A46" s="154"/>
      <c r="B46" s="158"/>
      <c r="C46" s="8" t="s">
        <v>18</v>
      </c>
      <c r="D46" s="9" t="s">
        <v>9</v>
      </c>
      <c r="E46" s="10">
        <v>45425</v>
      </c>
      <c r="F46" s="10">
        <v>45430</v>
      </c>
      <c r="G46" s="11">
        <v>183</v>
      </c>
      <c r="H46" s="11">
        <v>205</v>
      </c>
      <c r="I46" s="11">
        <v>49</v>
      </c>
      <c r="J46" s="11">
        <v>5</v>
      </c>
      <c r="K46" s="11">
        <v>41</v>
      </c>
      <c r="L46" s="11">
        <v>197</v>
      </c>
      <c r="M46" s="11">
        <f t="shared" si="0"/>
        <v>1087</v>
      </c>
      <c r="N46" s="11">
        <f t="shared" si="1"/>
        <v>680</v>
      </c>
      <c r="O46" s="40"/>
    </row>
    <row r="47" spans="1:15" x14ac:dyDescent="0.3">
      <c r="A47" s="154"/>
      <c r="B47" s="158"/>
      <c r="C47" s="8" t="s">
        <v>41</v>
      </c>
      <c r="D47" s="9" t="s">
        <v>2</v>
      </c>
      <c r="E47" s="10">
        <v>45428</v>
      </c>
      <c r="F47" s="10">
        <v>45434</v>
      </c>
      <c r="G47" s="11">
        <v>285</v>
      </c>
      <c r="H47" s="11">
        <v>221</v>
      </c>
      <c r="I47" s="11">
        <v>45</v>
      </c>
      <c r="J47" s="11">
        <v>196</v>
      </c>
      <c r="K47" s="11">
        <v>139</v>
      </c>
      <c r="L47" s="11">
        <v>5</v>
      </c>
      <c r="M47" s="11">
        <f t="shared" si="0"/>
        <v>1313</v>
      </c>
      <c r="N47" s="11">
        <f t="shared" si="1"/>
        <v>891</v>
      </c>
      <c r="O47" s="40"/>
    </row>
    <row r="48" spans="1:15" x14ac:dyDescent="0.3">
      <c r="A48" s="154"/>
      <c r="B48" s="158"/>
      <c r="C48" s="8" t="s">
        <v>35</v>
      </c>
      <c r="D48" s="9" t="s">
        <v>9</v>
      </c>
      <c r="E48" s="10">
        <v>45430</v>
      </c>
      <c r="F48" s="10">
        <v>45435</v>
      </c>
      <c r="G48" s="11">
        <v>270</v>
      </c>
      <c r="H48" s="11">
        <v>241</v>
      </c>
      <c r="I48" s="11">
        <v>24</v>
      </c>
      <c r="J48" s="11">
        <v>14</v>
      </c>
      <c r="K48" s="11">
        <v>42</v>
      </c>
      <c r="L48" s="11">
        <v>148</v>
      </c>
      <c r="M48" s="11">
        <f t="shared" si="0"/>
        <v>1142</v>
      </c>
      <c r="N48" s="11">
        <f t="shared" si="1"/>
        <v>739</v>
      </c>
      <c r="O48" s="40"/>
    </row>
    <row r="49" spans="1:15" x14ac:dyDescent="0.3">
      <c r="A49" s="154"/>
      <c r="B49" s="158"/>
      <c r="C49" s="8" t="s">
        <v>25</v>
      </c>
      <c r="D49" s="9" t="s">
        <v>13</v>
      </c>
      <c r="E49" s="10">
        <v>45435</v>
      </c>
      <c r="F49" s="10">
        <v>45438</v>
      </c>
      <c r="G49" s="11">
        <v>64</v>
      </c>
      <c r="H49" s="11">
        <v>107</v>
      </c>
      <c r="I49" s="11"/>
      <c r="J49" s="11">
        <v>28</v>
      </c>
      <c r="K49" s="11">
        <v>136</v>
      </c>
      <c r="L49" s="11">
        <v>56</v>
      </c>
      <c r="M49" s="11">
        <f>G49+H49*2+I49+J49*2+K49+L49*2</f>
        <v>582</v>
      </c>
      <c r="N49" s="11">
        <f t="shared" si="1"/>
        <v>391</v>
      </c>
      <c r="O49" s="40"/>
    </row>
    <row r="50" spans="1:15" x14ac:dyDescent="0.3">
      <c r="A50" s="154"/>
      <c r="B50" s="158"/>
      <c r="C50" s="8" t="s">
        <v>36</v>
      </c>
      <c r="D50" s="9" t="s">
        <v>5</v>
      </c>
      <c r="E50" s="10">
        <v>45438</v>
      </c>
      <c r="F50" s="10">
        <v>45441</v>
      </c>
      <c r="G50" s="11">
        <v>97</v>
      </c>
      <c r="H50" s="11">
        <v>78</v>
      </c>
      <c r="I50" s="11"/>
      <c r="J50" s="11"/>
      <c r="K50" s="11"/>
      <c r="L50" s="11">
        <v>66</v>
      </c>
      <c r="M50" s="11">
        <f t="shared" si="0"/>
        <v>385</v>
      </c>
      <c r="N50" s="11">
        <f t="shared" si="1"/>
        <v>241</v>
      </c>
      <c r="O50" s="40"/>
    </row>
    <row r="51" spans="1:15" x14ac:dyDescent="0.3">
      <c r="A51" s="155"/>
      <c r="B51" s="159"/>
      <c r="C51" s="16" t="s">
        <v>33</v>
      </c>
      <c r="D51" s="17" t="s">
        <v>5</v>
      </c>
      <c r="E51" s="18">
        <v>45441</v>
      </c>
      <c r="F51" s="18">
        <v>45446</v>
      </c>
      <c r="G51" s="19">
        <v>305</v>
      </c>
      <c r="H51" s="19">
        <v>90</v>
      </c>
      <c r="I51" s="19">
        <v>11</v>
      </c>
      <c r="J51" s="19">
        <v>29</v>
      </c>
      <c r="K51" s="19">
        <v>295</v>
      </c>
      <c r="L51" s="19">
        <v>28</v>
      </c>
      <c r="M51" s="19">
        <f t="shared" si="0"/>
        <v>905</v>
      </c>
      <c r="N51" s="19">
        <f t="shared" si="1"/>
        <v>758</v>
      </c>
      <c r="O51" s="41"/>
    </row>
    <row r="52" spans="1:15" ht="15.65" thickBot="1" x14ac:dyDescent="0.35">
      <c r="A52" s="156"/>
      <c r="B52" s="160"/>
      <c r="C52" s="24" t="s">
        <v>6</v>
      </c>
      <c r="D52" s="25" t="s">
        <v>2</v>
      </c>
      <c r="E52" s="26">
        <v>45443</v>
      </c>
      <c r="F52" s="26">
        <v>45452</v>
      </c>
      <c r="G52" s="27">
        <v>320</v>
      </c>
      <c r="H52" s="27">
        <v>311</v>
      </c>
      <c r="I52" s="27">
        <v>87</v>
      </c>
      <c r="J52" s="27">
        <v>127</v>
      </c>
      <c r="K52" s="27">
        <v>403</v>
      </c>
      <c r="L52" s="27">
        <v>154</v>
      </c>
      <c r="M52" s="27">
        <f t="shared" si="0"/>
        <v>1994</v>
      </c>
      <c r="N52" s="27">
        <f t="shared" si="1"/>
        <v>1402</v>
      </c>
      <c r="O52" s="42"/>
    </row>
    <row r="53" spans="1:15" x14ac:dyDescent="0.3">
      <c r="A53" s="149" t="s">
        <v>86</v>
      </c>
      <c r="B53" s="161">
        <f>COUNTA(C53:C61)</f>
        <v>9</v>
      </c>
      <c r="C53" s="20" t="s">
        <v>42</v>
      </c>
      <c r="D53" s="21" t="s">
        <v>9</v>
      </c>
      <c r="E53" s="22">
        <v>45447</v>
      </c>
      <c r="F53" s="22">
        <v>45452</v>
      </c>
      <c r="G53" s="23">
        <v>155</v>
      </c>
      <c r="H53" s="23">
        <v>222</v>
      </c>
      <c r="I53" s="23">
        <v>53</v>
      </c>
      <c r="J53" s="23">
        <v>4</v>
      </c>
      <c r="K53" s="23">
        <v>4</v>
      </c>
      <c r="L53" s="23">
        <v>129</v>
      </c>
      <c r="M53" s="23">
        <f t="shared" si="0"/>
        <v>922</v>
      </c>
      <c r="N53" s="23">
        <f t="shared" si="1"/>
        <v>567</v>
      </c>
      <c r="O53" s="43">
        <f>SUM(M53:M61)</f>
        <v>8583</v>
      </c>
    </row>
    <row r="54" spans="1:15" x14ac:dyDescent="0.3">
      <c r="A54" s="150"/>
      <c r="B54" s="162"/>
      <c r="C54" s="12" t="s">
        <v>41</v>
      </c>
      <c r="D54" s="13" t="s">
        <v>2</v>
      </c>
      <c r="E54" s="14">
        <v>45452</v>
      </c>
      <c r="F54" s="14">
        <v>45464</v>
      </c>
      <c r="G54" s="15">
        <v>348</v>
      </c>
      <c r="H54" s="15">
        <v>151</v>
      </c>
      <c r="I54" s="15">
        <v>57</v>
      </c>
      <c r="J54" s="15">
        <v>81</v>
      </c>
      <c r="K54" s="15">
        <v>354</v>
      </c>
      <c r="L54" s="15">
        <v>255</v>
      </c>
      <c r="M54" s="15">
        <f t="shared" si="0"/>
        <v>1733</v>
      </c>
      <c r="N54" s="15">
        <f t="shared" si="1"/>
        <v>1246</v>
      </c>
      <c r="O54" s="40"/>
    </row>
    <row r="55" spans="1:15" x14ac:dyDescent="0.3">
      <c r="A55" s="150"/>
      <c r="B55" s="162"/>
      <c r="C55" s="12" t="s">
        <v>29</v>
      </c>
      <c r="D55" s="13" t="s">
        <v>13</v>
      </c>
      <c r="E55" s="14">
        <v>45453</v>
      </c>
      <c r="F55" s="14">
        <v>45455</v>
      </c>
      <c r="G55" s="15">
        <v>71</v>
      </c>
      <c r="H55" s="15">
        <v>27</v>
      </c>
      <c r="I55" s="15"/>
      <c r="J55" s="15">
        <v>13</v>
      </c>
      <c r="K55" s="15">
        <v>62</v>
      </c>
      <c r="L55" s="15">
        <v>86</v>
      </c>
      <c r="M55" s="15">
        <f t="shared" si="0"/>
        <v>385</v>
      </c>
      <c r="N55" s="15">
        <f t="shared" si="1"/>
        <v>259</v>
      </c>
      <c r="O55" s="40"/>
    </row>
    <row r="56" spans="1:15" x14ac:dyDescent="0.3">
      <c r="A56" s="150"/>
      <c r="B56" s="162"/>
      <c r="C56" s="12" t="s">
        <v>43</v>
      </c>
      <c r="D56" s="13" t="s">
        <v>13</v>
      </c>
      <c r="E56" s="14">
        <v>45455</v>
      </c>
      <c r="F56" s="14">
        <v>45458</v>
      </c>
      <c r="G56" s="15">
        <v>74</v>
      </c>
      <c r="H56" s="15">
        <v>41</v>
      </c>
      <c r="I56" s="15"/>
      <c r="J56" s="15"/>
      <c r="K56" s="15">
        <v>27</v>
      </c>
      <c r="L56" s="15">
        <v>26</v>
      </c>
      <c r="M56" s="15">
        <f t="shared" si="0"/>
        <v>235</v>
      </c>
      <c r="N56" s="15">
        <f t="shared" si="1"/>
        <v>168</v>
      </c>
      <c r="O56" s="40"/>
    </row>
    <row r="57" spans="1:15" x14ac:dyDescent="0.3">
      <c r="A57" s="150"/>
      <c r="B57" s="162"/>
      <c r="C57" s="12" t="s">
        <v>44</v>
      </c>
      <c r="D57" s="13" t="s">
        <v>5</v>
      </c>
      <c r="E57" s="14">
        <v>45456</v>
      </c>
      <c r="F57" s="14">
        <v>45461</v>
      </c>
      <c r="G57" s="15">
        <v>126</v>
      </c>
      <c r="H57" s="15">
        <v>179</v>
      </c>
      <c r="I57" s="15"/>
      <c r="J57" s="15"/>
      <c r="K57" s="15"/>
      <c r="L57" s="15">
        <v>116</v>
      </c>
      <c r="M57" s="15">
        <f t="shared" si="0"/>
        <v>716</v>
      </c>
      <c r="N57" s="15">
        <f t="shared" si="1"/>
        <v>421</v>
      </c>
      <c r="O57" s="40"/>
    </row>
    <row r="58" spans="1:15" x14ac:dyDescent="0.3">
      <c r="A58" s="150"/>
      <c r="B58" s="162"/>
      <c r="C58" s="12" t="s">
        <v>45</v>
      </c>
      <c r="D58" s="13" t="s">
        <v>9</v>
      </c>
      <c r="E58" s="14">
        <v>45462</v>
      </c>
      <c r="F58" s="14">
        <v>45465</v>
      </c>
      <c r="G58" s="15"/>
      <c r="H58" s="15"/>
      <c r="I58" s="15"/>
      <c r="J58" s="15"/>
      <c r="K58" s="15">
        <v>102</v>
      </c>
      <c r="L58" s="15">
        <v>149</v>
      </c>
      <c r="M58" s="15">
        <f t="shared" si="0"/>
        <v>400</v>
      </c>
      <c r="N58" s="15">
        <f t="shared" si="1"/>
        <v>251</v>
      </c>
      <c r="O58" s="40"/>
    </row>
    <row r="59" spans="1:15" x14ac:dyDescent="0.3">
      <c r="A59" s="150"/>
      <c r="B59" s="162"/>
      <c r="C59" s="12" t="s">
        <v>46</v>
      </c>
      <c r="D59" s="13" t="s">
        <v>2</v>
      </c>
      <c r="E59" s="14">
        <v>45465</v>
      </c>
      <c r="F59" s="14">
        <v>45471</v>
      </c>
      <c r="G59" s="15">
        <v>161</v>
      </c>
      <c r="H59" s="15">
        <v>400</v>
      </c>
      <c r="I59" s="15">
        <v>112</v>
      </c>
      <c r="J59" s="15">
        <v>133</v>
      </c>
      <c r="K59" s="15">
        <v>242</v>
      </c>
      <c r="L59" s="15">
        <v>159</v>
      </c>
      <c r="M59" s="15">
        <f t="shared" si="0"/>
        <v>1899</v>
      </c>
      <c r="N59" s="15">
        <f t="shared" si="1"/>
        <v>1207</v>
      </c>
      <c r="O59" s="40"/>
    </row>
    <row r="60" spans="1:15" x14ac:dyDescent="0.3">
      <c r="A60" s="151"/>
      <c r="B60" s="163"/>
      <c r="C60" s="28" t="s">
        <v>33</v>
      </c>
      <c r="D60" s="29" t="s">
        <v>5</v>
      </c>
      <c r="E60" s="30">
        <v>45470</v>
      </c>
      <c r="F60" s="30">
        <v>45474</v>
      </c>
      <c r="G60" s="31">
        <v>106</v>
      </c>
      <c r="H60" s="31">
        <v>34</v>
      </c>
      <c r="I60" s="31">
        <v>21</v>
      </c>
      <c r="J60" s="31">
        <v>17</v>
      </c>
      <c r="K60" s="31">
        <v>416</v>
      </c>
      <c r="L60" s="31">
        <v>152</v>
      </c>
      <c r="M60" s="31">
        <f t="shared" si="0"/>
        <v>949</v>
      </c>
      <c r="N60" s="31">
        <f t="shared" si="1"/>
        <v>746</v>
      </c>
      <c r="O60" s="41"/>
    </row>
    <row r="61" spans="1:15" ht="15.65" thickBot="1" x14ac:dyDescent="0.35">
      <c r="A61" s="152"/>
      <c r="B61" s="164"/>
      <c r="C61" s="36" t="s">
        <v>47</v>
      </c>
      <c r="D61" s="37" t="s">
        <v>2</v>
      </c>
      <c r="E61" s="38">
        <v>45472</v>
      </c>
      <c r="F61" s="38">
        <v>45476</v>
      </c>
      <c r="G61" s="39">
        <v>303</v>
      </c>
      <c r="H61" s="39">
        <v>150</v>
      </c>
      <c r="I61" s="39">
        <v>20</v>
      </c>
      <c r="J61" s="39">
        <v>18</v>
      </c>
      <c r="K61" s="39">
        <v>249</v>
      </c>
      <c r="L61" s="39">
        <v>218</v>
      </c>
      <c r="M61" s="39">
        <f t="shared" si="0"/>
        <v>1344</v>
      </c>
      <c r="N61" s="39">
        <f t="shared" si="1"/>
        <v>958</v>
      </c>
      <c r="O61" s="42"/>
    </row>
    <row r="62" spans="1:15" x14ac:dyDescent="0.3">
      <c r="A62" s="153" t="s">
        <v>87</v>
      </c>
      <c r="B62" s="157">
        <f>COUNTA(C62:C70)</f>
        <v>9</v>
      </c>
      <c r="C62" s="32" t="s">
        <v>25</v>
      </c>
      <c r="D62" s="33" t="s">
        <v>13</v>
      </c>
      <c r="E62" s="34">
        <v>45477</v>
      </c>
      <c r="F62" s="34">
        <v>45479</v>
      </c>
      <c r="G62" s="35">
        <v>76</v>
      </c>
      <c r="H62" s="35">
        <v>111</v>
      </c>
      <c r="I62" s="35">
        <v>1</v>
      </c>
      <c r="J62" s="35">
        <v>10</v>
      </c>
      <c r="K62" s="35">
        <v>109</v>
      </c>
      <c r="L62" s="35">
        <v>27</v>
      </c>
      <c r="M62" s="35">
        <f t="shared" si="0"/>
        <v>482</v>
      </c>
      <c r="N62" s="35">
        <f t="shared" si="1"/>
        <v>334</v>
      </c>
      <c r="O62" s="43">
        <f>SUM(M62:M70)</f>
        <v>9802</v>
      </c>
    </row>
    <row r="63" spans="1:15" x14ac:dyDescent="0.3">
      <c r="A63" s="154"/>
      <c r="B63" s="158"/>
      <c r="C63" s="8" t="s">
        <v>18</v>
      </c>
      <c r="D63" s="9" t="s">
        <v>9</v>
      </c>
      <c r="E63" s="10">
        <v>45479</v>
      </c>
      <c r="F63" s="10">
        <v>45484</v>
      </c>
      <c r="G63" s="11">
        <v>116</v>
      </c>
      <c r="H63" s="11">
        <v>171</v>
      </c>
      <c r="I63" s="11">
        <v>64</v>
      </c>
      <c r="J63" s="11"/>
      <c r="K63" s="11">
        <v>106</v>
      </c>
      <c r="L63" s="11">
        <v>179</v>
      </c>
      <c r="M63" s="11">
        <f t="shared" si="0"/>
        <v>986</v>
      </c>
      <c r="N63" s="11">
        <f t="shared" si="1"/>
        <v>636</v>
      </c>
      <c r="O63" s="40"/>
    </row>
    <row r="64" spans="1:15" x14ac:dyDescent="0.3">
      <c r="A64" s="154"/>
      <c r="B64" s="158"/>
      <c r="C64" s="8" t="s">
        <v>35</v>
      </c>
      <c r="D64" s="9" t="s">
        <v>9</v>
      </c>
      <c r="E64" s="10">
        <v>45484</v>
      </c>
      <c r="F64" s="10">
        <v>45487</v>
      </c>
      <c r="G64" s="11">
        <v>82</v>
      </c>
      <c r="H64" s="11">
        <v>97</v>
      </c>
      <c r="I64" s="11">
        <v>51</v>
      </c>
      <c r="J64" s="11">
        <v>6</v>
      </c>
      <c r="K64" s="11">
        <v>34</v>
      </c>
      <c r="L64" s="11">
        <v>108</v>
      </c>
      <c r="M64" s="11">
        <f t="shared" si="0"/>
        <v>589</v>
      </c>
      <c r="N64" s="11">
        <f t="shared" si="1"/>
        <v>378</v>
      </c>
      <c r="O64" s="40"/>
    </row>
    <row r="65" spans="1:15" x14ac:dyDescent="0.3">
      <c r="A65" s="154"/>
      <c r="B65" s="158"/>
      <c r="C65" s="8" t="s">
        <v>6</v>
      </c>
      <c r="D65" s="9" t="s">
        <v>2</v>
      </c>
      <c r="E65" s="10">
        <v>45487</v>
      </c>
      <c r="F65" s="10">
        <v>45495</v>
      </c>
      <c r="G65" s="11">
        <v>341</v>
      </c>
      <c r="H65" s="11">
        <v>299</v>
      </c>
      <c r="I65" s="11">
        <v>81</v>
      </c>
      <c r="J65" s="11">
        <v>93</v>
      </c>
      <c r="K65" s="11">
        <v>301</v>
      </c>
      <c r="L65" s="11">
        <v>191</v>
      </c>
      <c r="M65" s="11">
        <f t="shared" si="0"/>
        <v>1889</v>
      </c>
      <c r="N65" s="11">
        <f t="shared" si="1"/>
        <v>1306</v>
      </c>
      <c r="O65" s="40"/>
    </row>
    <row r="66" spans="1:15" x14ac:dyDescent="0.3">
      <c r="A66" s="154"/>
      <c r="B66" s="158"/>
      <c r="C66" s="8" t="s">
        <v>12</v>
      </c>
      <c r="D66" s="9" t="s">
        <v>13</v>
      </c>
      <c r="E66" s="10">
        <v>45488</v>
      </c>
      <c r="F66" s="10">
        <v>45491</v>
      </c>
      <c r="G66" s="11">
        <v>15</v>
      </c>
      <c r="H66" s="11">
        <v>85</v>
      </c>
      <c r="I66" s="11"/>
      <c r="J66" s="11"/>
      <c r="K66" s="11">
        <v>63</v>
      </c>
      <c r="L66" s="11">
        <v>110</v>
      </c>
      <c r="M66" s="11">
        <f t="shared" si="0"/>
        <v>468</v>
      </c>
      <c r="N66" s="11">
        <f t="shared" si="1"/>
        <v>273</v>
      </c>
      <c r="O66" s="40"/>
    </row>
    <row r="67" spans="1:15" x14ac:dyDescent="0.3">
      <c r="A67" s="154"/>
      <c r="B67" s="158"/>
      <c r="C67" s="8" t="s">
        <v>41</v>
      </c>
      <c r="D67" s="9" t="s">
        <v>2</v>
      </c>
      <c r="E67" s="10">
        <v>45491</v>
      </c>
      <c r="F67" s="10">
        <v>45498</v>
      </c>
      <c r="G67" s="11">
        <v>290</v>
      </c>
      <c r="H67" s="11">
        <v>285</v>
      </c>
      <c r="I67" s="11">
        <v>68</v>
      </c>
      <c r="J67" s="11">
        <v>37</v>
      </c>
      <c r="K67" s="11">
        <v>202</v>
      </c>
      <c r="L67" s="11">
        <v>246</v>
      </c>
      <c r="M67" s="11">
        <f t="shared" si="0"/>
        <v>1696</v>
      </c>
      <c r="N67" s="11">
        <f t="shared" si="1"/>
        <v>1128</v>
      </c>
      <c r="O67" s="40"/>
    </row>
    <row r="68" spans="1:15" x14ac:dyDescent="0.3">
      <c r="A68" s="154"/>
      <c r="B68" s="158"/>
      <c r="C68" s="8" t="s">
        <v>33</v>
      </c>
      <c r="D68" s="9" t="s">
        <v>5</v>
      </c>
      <c r="E68" s="10">
        <v>45499</v>
      </c>
      <c r="F68" s="10">
        <v>45503</v>
      </c>
      <c r="G68" s="11">
        <v>226</v>
      </c>
      <c r="H68" s="11">
        <v>152</v>
      </c>
      <c r="I68" s="11">
        <v>43</v>
      </c>
      <c r="J68" s="11">
        <v>5</v>
      </c>
      <c r="K68" s="11">
        <v>118</v>
      </c>
      <c r="L68" s="11">
        <v>5</v>
      </c>
      <c r="M68" s="11">
        <f t="shared" si="0"/>
        <v>711</v>
      </c>
      <c r="N68" s="11">
        <f t="shared" si="1"/>
        <v>549</v>
      </c>
      <c r="O68" s="40"/>
    </row>
    <row r="69" spans="1:15" x14ac:dyDescent="0.3">
      <c r="A69" s="155"/>
      <c r="B69" s="159"/>
      <c r="C69" s="16" t="s">
        <v>45</v>
      </c>
      <c r="D69" s="17" t="s">
        <v>9</v>
      </c>
      <c r="E69" s="18">
        <v>45501</v>
      </c>
      <c r="F69" s="18">
        <v>45510</v>
      </c>
      <c r="G69" s="19">
        <v>233</v>
      </c>
      <c r="H69" s="19">
        <v>211</v>
      </c>
      <c r="I69" s="19">
        <v>139</v>
      </c>
      <c r="J69" s="19">
        <v>5</v>
      </c>
      <c r="K69" s="19">
        <v>270</v>
      </c>
      <c r="L69" s="19">
        <v>186</v>
      </c>
      <c r="M69" s="19">
        <f t="shared" ref="M69:M105" si="2">G69+H69*2+I69+J69*2+K69+L69*2</f>
        <v>1446</v>
      </c>
      <c r="N69" s="19">
        <f t="shared" ref="N69:N105" si="3">SUM(G69:L69)</f>
        <v>1044</v>
      </c>
      <c r="O69" s="41"/>
    </row>
    <row r="70" spans="1:15" ht="15.65" thickBot="1" x14ac:dyDescent="0.35">
      <c r="A70" s="156"/>
      <c r="B70" s="160"/>
      <c r="C70" s="24" t="s">
        <v>17</v>
      </c>
      <c r="D70" s="25" t="s">
        <v>2</v>
      </c>
      <c r="E70" s="26">
        <v>45504</v>
      </c>
      <c r="F70" s="26">
        <v>45511</v>
      </c>
      <c r="G70" s="27">
        <v>196</v>
      </c>
      <c r="H70" s="27">
        <v>249</v>
      </c>
      <c r="I70" s="27">
        <v>26</v>
      </c>
      <c r="J70" s="27">
        <v>38</v>
      </c>
      <c r="K70" s="27">
        <v>227</v>
      </c>
      <c r="L70" s="27">
        <v>256</v>
      </c>
      <c r="M70" s="27">
        <f t="shared" si="2"/>
        <v>1535</v>
      </c>
      <c r="N70" s="27">
        <f t="shared" si="3"/>
        <v>992</v>
      </c>
      <c r="O70" s="42"/>
    </row>
    <row r="71" spans="1:15" x14ac:dyDescent="0.3">
      <c r="A71" s="149" t="s">
        <v>88</v>
      </c>
      <c r="B71" s="161">
        <f>COUNTA(C71:C77)</f>
        <v>7</v>
      </c>
      <c r="C71" s="20" t="s">
        <v>48</v>
      </c>
      <c r="D71" s="21" t="s">
        <v>5</v>
      </c>
      <c r="E71" s="22">
        <v>45511</v>
      </c>
      <c r="F71" s="22">
        <v>45514</v>
      </c>
      <c r="G71" s="23">
        <v>115</v>
      </c>
      <c r="H71" s="23">
        <v>138</v>
      </c>
      <c r="I71" s="23"/>
      <c r="J71" s="23"/>
      <c r="K71" s="23">
        <v>8</v>
      </c>
      <c r="L71" s="23">
        <v>219</v>
      </c>
      <c r="M71" s="23">
        <f t="shared" si="2"/>
        <v>837</v>
      </c>
      <c r="N71" s="23">
        <f t="shared" si="3"/>
        <v>480</v>
      </c>
      <c r="O71" s="43">
        <f>SUM(M71:M77)</f>
        <v>6891</v>
      </c>
    </row>
    <row r="72" spans="1:15" x14ac:dyDescent="0.3">
      <c r="A72" s="150"/>
      <c r="B72" s="162"/>
      <c r="C72" s="12" t="s">
        <v>25</v>
      </c>
      <c r="D72" s="13" t="s">
        <v>13</v>
      </c>
      <c r="E72" s="14">
        <v>45514</v>
      </c>
      <c r="F72" s="14">
        <v>45516</v>
      </c>
      <c r="G72" s="15">
        <v>23</v>
      </c>
      <c r="H72" s="15">
        <v>53</v>
      </c>
      <c r="I72" s="15">
        <v>1</v>
      </c>
      <c r="J72" s="15">
        <v>2</v>
      </c>
      <c r="K72" s="15">
        <v>36</v>
      </c>
      <c r="L72" s="15">
        <v>80</v>
      </c>
      <c r="M72" s="15">
        <f t="shared" si="2"/>
        <v>330</v>
      </c>
      <c r="N72" s="15">
        <f t="shared" si="3"/>
        <v>195</v>
      </c>
      <c r="O72" s="40"/>
    </row>
    <row r="73" spans="1:15" x14ac:dyDescent="0.3">
      <c r="A73" s="150"/>
      <c r="B73" s="162"/>
      <c r="C73" s="12" t="s">
        <v>47</v>
      </c>
      <c r="D73" s="13" t="s">
        <v>2</v>
      </c>
      <c r="E73" s="14">
        <v>45516</v>
      </c>
      <c r="F73" s="14">
        <v>45521</v>
      </c>
      <c r="G73" s="15">
        <v>259</v>
      </c>
      <c r="H73" s="15">
        <v>163</v>
      </c>
      <c r="I73" s="15">
        <v>77</v>
      </c>
      <c r="J73" s="15">
        <v>51</v>
      </c>
      <c r="K73" s="15">
        <v>199</v>
      </c>
      <c r="L73" s="15">
        <v>231</v>
      </c>
      <c r="M73" s="15">
        <f t="shared" si="2"/>
        <v>1425</v>
      </c>
      <c r="N73" s="15">
        <f t="shared" si="3"/>
        <v>980</v>
      </c>
      <c r="O73" s="40"/>
    </row>
    <row r="74" spans="1:15" x14ac:dyDescent="0.3">
      <c r="A74" s="150"/>
      <c r="B74" s="162"/>
      <c r="C74" s="12" t="s">
        <v>18</v>
      </c>
      <c r="D74" s="13" t="s">
        <v>9</v>
      </c>
      <c r="E74" s="14">
        <v>45521</v>
      </c>
      <c r="F74" s="14">
        <v>45528</v>
      </c>
      <c r="G74" s="15">
        <v>145</v>
      </c>
      <c r="H74" s="15">
        <v>288</v>
      </c>
      <c r="I74" s="15">
        <v>76</v>
      </c>
      <c r="J74" s="15">
        <v>7</v>
      </c>
      <c r="K74" s="15">
        <v>60</v>
      </c>
      <c r="L74" s="15">
        <v>374</v>
      </c>
      <c r="M74" s="15">
        <f t="shared" si="2"/>
        <v>1619</v>
      </c>
      <c r="N74" s="15">
        <f t="shared" si="3"/>
        <v>950</v>
      </c>
      <c r="O74" s="40"/>
    </row>
    <row r="75" spans="1:15" x14ac:dyDescent="0.3">
      <c r="A75" s="150"/>
      <c r="B75" s="162"/>
      <c r="C75" s="12" t="s">
        <v>12</v>
      </c>
      <c r="D75" s="13" t="s">
        <v>13</v>
      </c>
      <c r="E75" s="14">
        <v>45529</v>
      </c>
      <c r="F75" s="14">
        <v>45530</v>
      </c>
      <c r="G75" s="15">
        <v>29</v>
      </c>
      <c r="H75" s="15">
        <v>40</v>
      </c>
      <c r="I75" s="15"/>
      <c r="J75" s="15">
        <v>2</v>
      </c>
      <c r="K75" s="15">
        <v>28</v>
      </c>
      <c r="L75" s="15">
        <v>46</v>
      </c>
      <c r="M75" s="15">
        <f t="shared" si="2"/>
        <v>233</v>
      </c>
      <c r="N75" s="15">
        <f t="shared" si="3"/>
        <v>145</v>
      </c>
      <c r="O75" s="40"/>
    </row>
    <row r="76" spans="1:15" x14ac:dyDescent="0.3">
      <c r="A76" s="151"/>
      <c r="B76" s="163"/>
      <c r="C76" s="28" t="s">
        <v>11</v>
      </c>
      <c r="D76" s="29" t="s">
        <v>2</v>
      </c>
      <c r="E76" s="30">
        <v>45530</v>
      </c>
      <c r="F76" s="30">
        <v>45540</v>
      </c>
      <c r="G76" s="31">
        <v>185</v>
      </c>
      <c r="H76" s="31">
        <v>171</v>
      </c>
      <c r="I76" s="31">
        <v>21</v>
      </c>
      <c r="J76" s="31">
        <v>57</v>
      </c>
      <c r="K76" s="31">
        <v>259</v>
      </c>
      <c r="L76" s="31">
        <v>140</v>
      </c>
      <c r="M76" s="31">
        <f t="shared" si="2"/>
        <v>1201</v>
      </c>
      <c r="N76" s="31">
        <f t="shared" si="3"/>
        <v>833</v>
      </c>
      <c r="O76" s="41"/>
    </row>
    <row r="77" spans="1:15" ht="15.65" thickBot="1" x14ac:dyDescent="0.35">
      <c r="A77" s="152"/>
      <c r="B77" s="164"/>
      <c r="C77" s="36" t="s">
        <v>33</v>
      </c>
      <c r="D77" s="37" t="s">
        <v>5</v>
      </c>
      <c r="E77" s="38">
        <v>45532</v>
      </c>
      <c r="F77" s="38">
        <v>45538</v>
      </c>
      <c r="G77" s="39">
        <v>325</v>
      </c>
      <c r="H77" s="39">
        <v>88</v>
      </c>
      <c r="I77" s="39">
        <v>28</v>
      </c>
      <c r="J77" s="39">
        <v>8</v>
      </c>
      <c r="K77" s="39">
        <v>387</v>
      </c>
      <c r="L77" s="39">
        <v>157</v>
      </c>
      <c r="M77" s="39">
        <f t="shared" si="2"/>
        <v>1246</v>
      </c>
      <c r="N77" s="39">
        <f t="shared" si="3"/>
        <v>993</v>
      </c>
      <c r="O77" s="42"/>
    </row>
    <row r="78" spans="1:15" x14ac:dyDescent="0.3">
      <c r="A78" s="153" t="s">
        <v>89</v>
      </c>
      <c r="B78" s="157">
        <f>COUNTA(C78:C83)</f>
        <v>6</v>
      </c>
      <c r="C78" s="32" t="s">
        <v>15</v>
      </c>
      <c r="D78" s="33" t="s">
        <v>9</v>
      </c>
      <c r="E78" s="34">
        <v>45540</v>
      </c>
      <c r="F78" s="34">
        <v>45545</v>
      </c>
      <c r="G78" s="35">
        <v>221</v>
      </c>
      <c r="H78" s="35">
        <v>225</v>
      </c>
      <c r="I78" s="35">
        <v>36</v>
      </c>
      <c r="J78" s="35">
        <v>1</v>
      </c>
      <c r="K78" s="35">
        <v>204</v>
      </c>
      <c r="L78" s="35">
        <v>148</v>
      </c>
      <c r="M78" s="35">
        <f t="shared" si="2"/>
        <v>1209</v>
      </c>
      <c r="N78" s="35">
        <f t="shared" si="3"/>
        <v>835</v>
      </c>
      <c r="O78" s="43">
        <f>SUM(M78:M83)</f>
        <v>7760</v>
      </c>
    </row>
    <row r="79" spans="1:15" x14ac:dyDescent="0.3">
      <c r="A79" s="154"/>
      <c r="B79" s="158"/>
      <c r="C79" s="8" t="s">
        <v>17</v>
      </c>
      <c r="D79" s="9" t="s">
        <v>2</v>
      </c>
      <c r="E79" s="10">
        <v>45546</v>
      </c>
      <c r="F79" s="10">
        <v>45551</v>
      </c>
      <c r="G79" s="11">
        <v>139</v>
      </c>
      <c r="H79" s="11">
        <v>301</v>
      </c>
      <c r="I79" s="11">
        <v>47</v>
      </c>
      <c r="J79" s="11">
        <v>35</v>
      </c>
      <c r="K79" s="11">
        <v>273</v>
      </c>
      <c r="L79" s="11">
        <v>232</v>
      </c>
      <c r="M79" s="11">
        <f t="shared" si="2"/>
        <v>1595</v>
      </c>
      <c r="N79" s="11">
        <f t="shared" si="3"/>
        <v>1027</v>
      </c>
      <c r="O79" s="40"/>
    </row>
    <row r="80" spans="1:15" x14ac:dyDescent="0.3">
      <c r="A80" s="154"/>
      <c r="B80" s="158"/>
      <c r="C80" s="8" t="s">
        <v>47</v>
      </c>
      <c r="D80" s="9" t="s">
        <v>2</v>
      </c>
      <c r="E80" s="10">
        <v>45551</v>
      </c>
      <c r="F80" s="10">
        <v>45555</v>
      </c>
      <c r="G80" s="11">
        <v>266</v>
      </c>
      <c r="H80" s="11">
        <v>185</v>
      </c>
      <c r="I80" s="11">
        <v>43</v>
      </c>
      <c r="J80" s="11">
        <v>12</v>
      </c>
      <c r="K80" s="11">
        <v>50</v>
      </c>
      <c r="L80" s="11">
        <v>15</v>
      </c>
      <c r="M80" s="11">
        <f t="shared" si="2"/>
        <v>783</v>
      </c>
      <c r="N80" s="11">
        <f t="shared" si="3"/>
        <v>571</v>
      </c>
      <c r="O80" s="40"/>
    </row>
    <row r="81" spans="1:15" x14ac:dyDescent="0.3">
      <c r="A81" s="154"/>
      <c r="B81" s="158"/>
      <c r="C81" s="8" t="s">
        <v>42</v>
      </c>
      <c r="D81" s="9" t="s">
        <v>9</v>
      </c>
      <c r="E81" s="10">
        <v>45555</v>
      </c>
      <c r="F81" s="10">
        <v>45562</v>
      </c>
      <c r="G81" s="11">
        <v>344</v>
      </c>
      <c r="H81" s="11">
        <v>202</v>
      </c>
      <c r="I81" s="11">
        <v>25</v>
      </c>
      <c r="J81" s="11">
        <v>3</v>
      </c>
      <c r="K81" s="11">
        <v>235</v>
      </c>
      <c r="L81" s="11">
        <v>211</v>
      </c>
      <c r="M81" s="11">
        <f t="shared" si="2"/>
        <v>1436</v>
      </c>
      <c r="N81" s="11">
        <f t="shared" si="3"/>
        <v>1020</v>
      </c>
      <c r="O81" s="40"/>
    </row>
    <row r="82" spans="1:15" x14ac:dyDescent="0.3">
      <c r="A82" s="155"/>
      <c r="B82" s="159"/>
      <c r="C82" s="16" t="s">
        <v>18</v>
      </c>
      <c r="D82" s="17" t="s">
        <v>9</v>
      </c>
      <c r="E82" s="18">
        <v>45562</v>
      </c>
      <c r="F82" s="18">
        <v>45567</v>
      </c>
      <c r="G82" s="19">
        <v>55</v>
      </c>
      <c r="H82" s="19">
        <v>139</v>
      </c>
      <c r="I82" s="19">
        <v>5</v>
      </c>
      <c r="J82" s="19">
        <v>1</v>
      </c>
      <c r="K82" s="19">
        <v>105</v>
      </c>
      <c r="L82" s="19">
        <v>147</v>
      </c>
      <c r="M82" s="19">
        <f t="shared" si="2"/>
        <v>739</v>
      </c>
      <c r="N82" s="19">
        <f t="shared" si="3"/>
        <v>452</v>
      </c>
      <c r="O82" s="41"/>
    </row>
    <row r="83" spans="1:15" ht="15.65" thickBot="1" x14ac:dyDescent="0.35">
      <c r="A83" s="156"/>
      <c r="B83" s="160"/>
      <c r="C83" s="24" t="s">
        <v>41</v>
      </c>
      <c r="D83" s="25" t="s">
        <v>2</v>
      </c>
      <c r="E83" s="26">
        <v>45562</v>
      </c>
      <c r="F83" s="26">
        <v>45570</v>
      </c>
      <c r="G83" s="27">
        <v>89</v>
      </c>
      <c r="H83" s="27">
        <v>408</v>
      </c>
      <c r="I83" s="27">
        <v>24</v>
      </c>
      <c r="J83" s="27">
        <v>20</v>
      </c>
      <c r="K83" s="27">
        <v>329</v>
      </c>
      <c r="L83" s="27">
        <v>350</v>
      </c>
      <c r="M83" s="27">
        <f t="shared" si="2"/>
        <v>1998</v>
      </c>
      <c r="N83" s="27">
        <f t="shared" si="3"/>
        <v>1220</v>
      </c>
      <c r="O83" s="42"/>
    </row>
    <row r="84" spans="1:15" x14ac:dyDescent="0.3">
      <c r="A84" s="149" t="s">
        <v>90</v>
      </c>
      <c r="B84" s="161">
        <f>COUNTA(C84:C93)</f>
        <v>10</v>
      </c>
      <c r="C84" s="20" t="s">
        <v>49</v>
      </c>
      <c r="D84" s="21" t="s">
        <v>13</v>
      </c>
      <c r="E84" s="22">
        <v>45570</v>
      </c>
      <c r="F84" s="22">
        <v>45572</v>
      </c>
      <c r="G84" s="23">
        <v>136</v>
      </c>
      <c r="H84" s="23">
        <v>173</v>
      </c>
      <c r="I84" s="23"/>
      <c r="J84" s="23"/>
      <c r="K84" s="23">
        <v>33</v>
      </c>
      <c r="L84" s="23">
        <v>47</v>
      </c>
      <c r="M84" s="23">
        <f t="shared" si="2"/>
        <v>609</v>
      </c>
      <c r="N84" s="23">
        <f t="shared" si="3"/>
        <v>389</v>
      </c>
      <c r="O84" s="43">
        <f>SUM(M84:M93)</f>
        <v>9141</v>
      </c>
    </row>
    <row r="85" spans="1:15" x14ac:dyDescent="0.3">
      <c r="A85" s="150"/>
      <c r="B85" s="162"/>
      <c r="C85" s="12" t="s">
        <v>33</v>
      </c>
      <c r="D85" s="13" t="s">
        <v>5</v>
      </c>
      <c r="E85" s="14">
        <v>45572</v>
      </c>
      <c r="F85" s="14">
        <v>45577</v>
      </c>
      <c r="G85" s="15">
        <v>238</v>
      </c>
      <c r="H85" s="15">
        <v>191</v>
      </c>
      <c r="I85" s="15">
        <v>5</v>
      </c>
      <c r="J85" s="15"/>
      <c r="K85" s="15">
        <v>356</v>
      </c>
      <c r="L85" s="15">
        <v>102</v>
      </c>
      <c r="M85" s="15">
        <f t="shared" si="2"/>
        <v>1185</v>
      </c>
      <c r="N85" s="15">
        <f t="shared" si="3"/>
        <v>892</v>
      </c>
      <c r="O85" s="40"/>
    </row>
    <row r="86" spans="1:15" x14ac:dyDescent="0.3">
      <c r="A86" s="150"/>
      <c r="B86" s="162"/>
      <c r="C86" s="12" t="s">
        <v>50</v>
      </c>
      <c r="D86" s="13" t="s">
        <v>2</v>
      </c>
      <c r="E86" s="14">
        <v>45577</v>
      </c>
      <c r="F86" s="14">
        <v>45581</v>
      </c>
      <c r="G86" s="15">
        <v>132</v>
      </c>
      <c r="H86" s="15">
        <v>15</v>
      </c>
      <c r="I86" s="15">
        <v>14</v>
      </c>
      <c r="J86" s="15">
        <v>15</v>
      </c>
      <c r="K86" s="15">
        <v>119</v>
      </c>
      <c r="L86" s="15">
        <v>281</v>
      </c>
      <c r="M86" s="15">
        <f t="shared" si="2"/>
        <v>887</v>
      </c>
      <c r="N86" s="15">
        <f t="shared" si="3"/>
        <v>576</v>
      </c>
      <c r="O86" s="40"/>
    </row>
    <row r="87" spans="1:15" x14ac:dyDescent="0.3">
      <c r="A87" s="150"/>
      <c r="B87" s="162"/>
      <c r="C87" s="12" t="s">
        <v>12</v>
      </c>
      <c r="D87" s="13" t="s">
        <v>13</v>
      </c>
      <c r="E87" s="14">
        <v>45581</v>
      </c>
      <c r="F87" s="14">
        <v>45583</v>
      </c>
      <c r="G87" s="15">
        <v>74</v>
      </c>
      <c r="H87" s="15">
        <v>79</v>
      </c>
      <c r="I87" s="15"/>
      <c r="J87" s="15">
        <v>6</v>
      </c>
      <c r="K87" s="15">
        <v>68</v>
      </c>
      <c r="L87" s="15">
        <v>41</v>
      </c>
      <c r="M87" s="15">
        <f t="shared" si="2"/>
        <v>394</v>
      </c>
      <c r="N87" s="15">
        <f t="shared" si="3"/>
        <v>268</v>
      </c>
      <c r="O87" s="40"/>
    </row>
    <row r="88" spans="1:15" x14ac:dyDescent="0.3">
      <c r="A88" s="150"/>
      <c r="B88" s="162"/>
      <c r="C88" s="12" t="s">
        <v>11</v>
      </c>
      <c r="D88" s="13" t="s">
        <v>2</v>
      </c>
      <c r="E88" s="14">
        <v>45583</v>
      </c>
      <c r="F88" s="14">
        <v>45585</v>
      </c>
      <c r="G88" s="15">
        <v>127</v>
      </c>
      <c r="H88" s="15">
        <v>241</v>
      </c>
      <c r="I88" s="15"/>
      <c r="J88" s="15"/>
      <c r="K88" s="15">
        <v>52</v>
      </c>
      <c r="L88" s="15">
        <v>18</v>
      </c>
      <c r="M88" s="15">
        <f t="shared" si="2"/>
        <v>697</v>
      </c>
      <c r="N88" s="15">
        <f t="shared" si="3"/>
        <v>438</v>
      </c>
      <c r="O88" s="40"/>
    </row>
    <row r="89" spans="1:15" x14ac:dyDescent="0.3">
      <c r="A89" s="150"/>
      <c r="B89" s="162"/>
      <c r="C89" s="12" t="s">
        <v>4</v>
      </c>
      <c r="D89" s="13" t="s">
        <v>5</v>
      </c>
      <c r="E89" s="14">
        <v>45585</v>
      </c>
      <c r="F89" s="14">
        <v>45589</v>
      </c>
      <c r="G89" s="15">
        <v>278</v>
      </c>
      <c r="H89" s="15">
        <v>141</v>
      </c>
      <c r="I89" s="15">
        <v>1</v>
      </c>
      <c r="J89" s="15">
        <v>5</v>
      </c>
      <c r="K89" s="15">
        <v>210</v>
      </c>
      <c r="L89" s="15">
        <v>159</v>
      </c>
      <c r="M89" s="15">
        <f t="shared" si="2"/>
        <v>1099</v>
      </c>
      <c r="N89" s="15">
        <f t="shared" si="3"/>
        <v>794</v>
      </c>
      <c r="O89" s="40"/>
    </row>
    <row r="90" spans="1:15" x14ac:dyDescent="0.3">
      <c r="A90" s="150"/>
      <c r="B90" s="162"/>
      <c r="C90" s="12" t="s">
        <v>17</v>
      </c>
      <c r="D90" s="13" t="s">
        <v>2</v>
      </c>
      <c r="E90" s="14">
        <v>45588</v>
      </c>
      <c r="F90" s="14">
        <v>45594</v>
      </c>
      <c r="G90" s="15">
        <v>286</v>
      </c>
      <c r="H90" s="15">
        <v>128</v>
      </c>
      <c r="I90" s="15">
        <v>77</v>
      </c>
      <c r="J90" s="15">
        <v>21</v>
      </c>
      <c r="K90" s="15">
        <v>125</v>
      </c>
      <c r="L90" s="15">
        <v>305</v>
      </c>
      <c r="M90" s="15">
        <f t="shared" si="2"/>
        <v>1396</v>
      </c>
      <c r="N90" s="15">
        <f t="shared" si="3"/>
        <v>942</v>
      </c>
      <c r="O90" s="40"/>
    </row>
    <row r="91" spans="1:15" x14ac:dyDescent="0.3">
      <c r="A91" s="150"/>
      <c r="B91" s="162"/>
      <c r="C91" s="12" t="s">
        <v>33</v>
      </c>
      <c r="D91" s="13" t="s">
        <v>5</v>
      </c>
      <c r="E91" s="14">
        <v>45589</v>
      </c>
      <c r="F91" s="14">
        <v>45593</v>
      </c>
      <c r="G91" s="15">
        <v>285</v>
      </c>
      <c r="H91" s="15">
        <v>99</v>
      </c>
      <c r="I91" s="15">
        <v>12</v>
      </c>
      <c r="J91" s="15">
        <v>1</v>
      </c>
      <c r="K91" s="15">
        <v>113</v>
      </c>
      <c r="L91" s="15">
        <v>67</v>
      </c>
      <c r="M91" s="15">
        <f t="shared" si="2"/>
        <v>744</v>
      </c>
      <c r="N91" s="15">
        <f t="shared" si="3"/>
        <v>577</v>
      </c>
      <c r="O91" s="40"/>
    </row>
    <row r="92" spans="1:15" x14ac:dyDescent="0.3">
      <c r="A92" s="151"/>
      <c r="B92" s="163"/>
      <c r="C92" s="28" t="s">
        <v>47</v>
      </c>
      <c r="D92" s="29" t="s">
        <v>2</v>
      </c>
      <c r="E92" s="30">
        <v>45593</v>
      </c>
      <c r="F92" s="30">
        <v>45566</v>
      </c>
      <c r="G92" s="31">
        <v>120</v>
      </c>
      <c r="H92" s="31">
        <v>315</v>
      </c>
      <c r="I92" s="31">
        <v>11</v>
      </c>
      <c r="J92" s="31">
        <v>5</v>
      </c>
      <c r="K92" s="31">
        <v>1</v>
      </c>
      <c r="L92" s="31">
        <v>234</v>
      </c>
      <c r="M92" s="31">
        <f t="shared" si="2"/>
        <v>1240</v>
      </c>
      <c r="N92" s="31">
        <f t="shared" si="3"/>
        <v>686</v>
      </c>
      <c r="O92" s="41"/>
    </row>
    <row r="93" spans="1:15" ht="15.65" thickBot="1" x14ac:dyDescent="0.35">
      <c r="A93" s="152"/>
      <c r="B93" s="164"/>
      <c r="C93" s="36" t="s">
        <v>28</v>
      </c>
      <c r="D93" s="37" t="s">
        <v>2</v>
      </c>
      <c r="E93" s="38">
        <v>45594</v>
      </c>
      <c r="F93" s="38">
        <v>45598</v>
      </c>
      <c r="G93" s="39">
        <v>110</v>
      </c>
      <c r="H93" s="39">
        <v>358</v>
      </c>
      <c r="I93" s="39">
        <v>18</v>
      </c>
      <c r="J93" s="39">
        <v>23</v>
      </c>
      <c r="K93" s="39"/>
      <c r="L93" s="39"/>
      <c r="M93" s="39">
        <f t="shared" si="2"/>
        <v>890</v>
      </c>
      <c r="N93" s="39">
        <f t="shared" si="3"/>
        <v>509</v>
      </c>
      <c r="O93" s="42"/>
    </row>
    <row r="94" spans="1:15" x14ac:dyDescent="0.3">
      <c r="A94" s="153" t="s">
        <v>91</v>
      </c>
      <c r="B94" s="157">
        <f>COUNTA(C94:C98)</f>
        <v>5</v>
      </c>
      <c r="C94" s="32" t="s">
        <v>35</v>
      </c>
      <c r="D94" s="33" t="s">
        <v>9</v>
      </c>
      <c r="E94" s="34">
        <v>45597</v>
      </c>
      <c r="F94" s="34">
        <v>45604</v>
      </c>
      <c r="G94" s="35">
        <v>272</v>
      </c>
      <c r="H94" s="35">
        <v>388</v>
      </c>
      <c r="I94" s="35">
        <v>111</v>
      </c>
      <c r="J94" s="35">
        <v>4</v>
      </c>
      <c r="K94" s="35">
        <v>44</v>
      </c>
      <c r="L94" s="35">
        <v>222</v>
      </c>
      <c r="M94" s="35">
        <f t="shared" si="2"/>
        <v>1655</v>
      </c>
      <c r="N94" s="35">
        <f t="shared" si="3"/>
        <v>1041</v>
      </c>
      <c r="O94" s="43">
        <f>SUM(M94:M98)</f>
        <v>7079</v>
      </c>
    </row>
    <row r="95" spans="1:15" x14ac:dyDescent="0.3">
      <c r="A95" s="154"/>
      <c r="B95" s="158"/>
      <c r="C95" s="8" t="s">
        <v>41</v>
      </c>
      <c r="D95" s="9" t="s">
        <v>2</v>
      </c>
      <c r="E95" s="10">
        <v>45608</v>
      </c>
      <c r="F95" s="10">
        <v>45616</v>
      </c>
      <c r="G95" s="11">
        <v>138</v>
      </c>
      <c r="H95" s="11">
        <v>368</v>
      </c>
      <c r="I95" s="11">
        <v>57</v>
      </c>
      <c r="J95" s="11">
        <v>18</v>
      </c>
      <c r="K95" s="11">
        <v>214</v>
      </c>
      <c r="L95" s="11">
        <v>402</v>
      </c>
      <c r="M95" s="11">
        <f t="shared" si="2"/>
        <v>1985</v>
      </c>
      <c r="N95" s="11">
        <f t="shared" si="3"/>
        <v>1197</v>
      </c>
      <c r="O95" s="40"/>
    </row>
    <row r="96" spans="1:15" x14ac:dyDescent="0.3">
      <c r="A96" s="154"/>
      <c r="B96" s="158"/>
      <c r="C96" s="8" t="s">
        <v>14</v>
      </c>
      <c r="D96" s="9" t="s">
        <v>9</v>
      </c>
      <c r="E96" s="10">
        <v>45616</v>
      </c>
      <c r="F96" s="10">
        <v>45619</v>
      </c>
      <c r="G96" s="11">
        <v>135</v>
      </c>
      <c r="H96" s="11">
        <v>194</v>
      </c>
      <c r="I96" s="11"/>
      <c r="J96" s="11"/>
      <c r="K96" s="11"/>
      <c r="L96" s="11">
        <v>50</v>
      </c>
      <c r="M96" s="11">
        <f t="shared" si="2"/>
        <v>623</v>
      </c>
      <c r="N96" s="11">
        <f t="shared" si="3"/>
        <v>379</v>
      </c>
      <c r="O96" s="40"/>
    </row>
    <row r="97" spans="1:15" x14ac:dyDescent="0.3">
      <c r="A97" s="155"/>
      <c r="B97" s="159"/>
      <c r="C97" s="16" t="s">
        <v>63</v>
      </c>
      <c r="D97" s="17" t="s">
        <v>2</v>
      </c>
      <c r="E97" s="18">
        <v>45621</v>
      </c>
      <c r="F97" s="18">
        <v>45627</v>
      </c>
      <c r="G97" s="19">
        <v>251</v>
      </c>
      <c r="H97" s="19">
        <v>78</v>
      </c>
      <c r="I97" s="19">
        <v>91</v>
      </c>
      <c r="J97" s="19">
        <v>24</v>
      </c>
      <c r="K97" s="19">
        <v>115</v>
      </c>
      <c r="L97" s="19">
        <v>245</v>
      </c>
      <c r="M97" s="19">
        <f t="shared" si="2"/>
        <v>1151</v>
      </c>
      <c r="N97" s="19">
        <f t="shared" si="3"/>
        <v>804</v>
      </c>
      <c r="O97" s="41"/>
    </row>
    <row r="98" spans="1:15" ht="15.65" thickBot="1" x14ac:dyDescent="0.35">
      <c r="A98" s="156"/>
      <c r="B98" s="160"/>
      <c r="C98" s="24" t="s">
        <v>4</v>
      </c>
      <c r="D98" s="25" t="s">
        <v>5</v>
      </c>
      <c r="E98" s="26">
        <v>45621</v>
      </c>
      <c r="F98" s="26">
        <v>45628</v>
      </c>
      <c r="G98" s="27">
        <v>298</v>
      </c>
      <c r="H98" s="27">
        <v>98</v>
      </c>
      <c r="I98" s="27">
        <v>19</v>
      </c>
      <c r="J98" s="27">
        <v>1</v>
      </c>
      <c r="K98" s="27">
        <v>390</v>
      </c>
      <c r="L98" s="27">
        <v>380</v>
      </c>
      <c r="M98" s="27">
        <f t="shared" si="2"/>
        <v>1665</v>
      </c>
      <c r="N98" s="27">
        <f t="shared" si="3"/>
        <v>1186</v>
      </c>
      <c r="O98" s="42"/>
    </row>
    <row r="99" spans="1:15" x14ac:dyDescent="0.3">
      <c r="A99" s="149" t="s">
        <v>92</v>
      </c>
      <c r="B99" s="161">
        <f>COUNTA(C99:C105)</f>
        <v>7</v>
      </c>
      <c r="C99" s="20" t="s">
        <v>12</v>
      </c>
      <c r="D99" s="21" t="s">
        <v>13</v>
      </c>
      <c r="E99" s="22">
        <v>45627</v>
      </c>
      <c r="F99" s="22">
        <v>45631</v>
      </c>
      <c r="G99" s="23">
        <v>232</v>
      </c>
      <c r="H99" s="23">
        <v>217</v>
      </c>
      <c r="I99" s="23">
        <v>1</v>
      </c>
      <c r="J99" s="23">
        <v>14</v>
      </c>
      <c r="K99" s="23">
        <v>152</v>
      </c>
      <c r="L99" s="23">
        <v>223</v>
      </c>
      <c r="M99" s="23">
        <f t="shared" si="2"/>
        <v>1293</v>
      </c>
      <c r="N99" s="23">
        <f t="shared" si="3"/>
        <v>839</v>
      </c>
      <c r="O99" s="43">
        <f>SUM(M99:M105)</f>
        <v>9633</v>
      </c>
    </row>
    <row r="100" spans="1:15" x14ac:dyDescent="0.3">
      <c r="A100" s="150"/>
      <c r="B100" s="162"/>
      <c r="C100" s="12" t="s">
        <v>17</v>
      </c>
      <c r="D100" s="13" t="s">
        <v>2</v>
      </c>
      <c r="E100" s="14">
        <v>45628</v>
      </c>
      <c r="F100" s="14">
        <v>45634</v>
      </c>
      <c r="G100" s="15">
        <v>218</v>
      </c>
      <c r="H100" s="15">
        <v>221</v>
      </c>
      <c r="I100" s="15"/>
      <c r="J100" s="15"/>
      <c r="K100" s="15">
        <v>244</v>
      </c>
      <c r="L100" s="15">
        <v>302</v>
      </c>
      <c r="M100" s="15">
        <f t="shared" si="2"/>
        <v>1508</v>
      </c>
      <c r="N100" s="15">
        <f t="shared" si="3"/>
        <v>985</v>
      </c>
      <c r="O100" s="40"/>
    </row>
    <row r="101" spans="1:15" x14ac:dyDescent="0.3">
      <c r="A101" s="150"/>
      <c r="B101" s="162"/>
      <c r="C101" s="12" t="s">
        <v>47</v>
      </c>
      <c r="D101" s="13" t="s">
        <v>2</v>
      </c>
      <c r="E101" s="14">
        <v>45634</v>
      </c>
      <c r="F101" s="14">
        <v>45638</v>
      </c>
      <c r="G101" s="15">
        <v>55</v>
      </c>
      <c r="H101" s="15">
        <v>359</v>
      </c>
      <c r="I101" s="15">
        <v>11</v>
      </c>
      <c r="J101" s="15">
        <v>12</v>
      </c>
      <c r="K101" s="15">
        <v>91</v>
      </c>
      <c r="L101" s="15">
        <v>357</v>
      </c>
      <c r="M101" s="15">
        <f t="shared" si="2"/>
        <v>1613</v>
      </c>
      <c r="N101" s="15">
        <f t="shared" si="3"/>
        <v>885</v>
      </c>
      <c r="O101" s="40"/>
    </row>
    <row r="102" spans="1:15" x14ac:dyDescent="0.3">
      <c r="A102" s="150"/>
      <c r="B102" s="162"/>
      <c r="C102" s="12" t="s">
        <v>7</v>
      </c>
      <c r="D102" s="13" t="s">
        <v>5</v>
      </c>
      <c r="E102" s="14">
        <v>45638</v>
      </c>
      <c r="F102" s="14">
        <v>45642</v>
      </c>
      <c r="G102" s="15">
        <v>158</v>
      </c>
      <c r="H102" s="15">
        <v>80</v>
      </c>
      <c r="I102" s="15"/>
      <c r="J102" s="15"/>
      <c r="K102" s="15">
        <v>274</v>
      </c>
      <c r="L102" s="15">
        <v>104</v>
      </c>
      <c r="M102" s="15">
        <f t="shared" si="2"/>
        <v>800</v>
      </c>
      <c r="N102" s="15">
        <f t="shared" si="3"/>
        <v>616</v>
      </c>
      <c r="O102" s="40"/>
    </row>
    <row r="103" spans="1:15" x14ac:dyDescent="0.3">
      <c r="A103" s="150"/>
      <c r="B103" s="162"/>
      <c r="C103" s="12" t="s">
        <v>8</v>
      </c>
      <c r="D103" s="13" t="s">
        <v>9</v>
      </c>
      <c r="E103" s="14">
        <v>45642</v>
      </c>
      <c r="F103" s="14">
        <v>45649</v>
      </c>
      <c r="G103" s="15">
        <v>295</v>
      </c>
      <c r="H103" s="15">
        <v>129</v>
      </c>
      <c r="I103" s="15">
        <v>137</v>
      </c>
      <c r="J103" s="15">
        <v>7</v>
      </c>
      <c r="K103" s="15">
        <v>139</v>
      </c>
      <c r="L103" s="15">
        <v>301</v>
      </c>
      <c r="M103" s="15">
        <f t="shared" si="2"/>
        <v>1445</v>
      </c>
      <c r="N103" s="15">
        <f t="shared" si="3"/>
        <v>1008</v>
      </c>
      <c r="O103" s="40"/>
    </row>
    <row r="104" spans="1:15" x14ac:dyDescent="0.3">
      <c r="A104" s="151"/>
      <c r="B104" s="163"/>
      <c r="C104" s="28" t="s">
        <v>14</v>
      </c>
      <c r="D104" s="29" t="s">
        <v>9</v>
      </c>
      <c r="E104" s="30">
        <v>45642</v>
      </c>
      <c r="F104" s="30">
        <v>45648</v>
      </c>
      <c r="G104" s="31">
        <v>264</v>
      </c>
      <c r="H104" s="31">
        <v>125</v>
      </c>
      <c r="I104" s="31"/>
      <c r="J104" s="31"/>
      <c r="K104" s="31">
        <v>220</v>
      </c>
      <c r="L104" s="31">
        <v>195</v>
      </c>
      <c r="M104" s="31">
        <f t="shared" si="2"/>
        <v>1124</v>
      </c>
      <c r="N104" s="31">
        <f t="shared" si="3"/>
        <v>804</v>
      </c>
      <c r="O104" s="41"/>
    </row>
    <row r="105" spans="1:15" ht="15.65" thickBot="1" x14ac:dyDescent="0.35">
      <c r="A105" s="151"/>
      <c r="B105" s="163"/>
      <c r="C105" s="28" t="s">
        <v>41</v>
      </c>
      <c r="D105" s="29" t="s">
        <v>2</v>
      </c>
      <c r="E105" s="30">
        <v>45648</v>
      </c>
      <c r="F105" s="30">
        <v>45655</v>
      </c>
      <c r="G105" s="31">
        <v>234</v>
      </c>
      <c r="H105" s="31">
        <v>264</v>
      </c>
      <c r="I105" s="31">
        <v>85</v>
      </c>
      <c r="J105" s="31">
        <v>14</v>
      </c>
      <c r="K105" s="31">
        <v>273</v>
      </c>
      <c r="L105" s="31">
        <v>351</v>
      </c>
      <c r="M105" s="31">
        <f t="shared" si="2"/>
        <v>1850</v>
      </c>
      <c r="N105" s="31">
        <f t="shared" si="3"/>
        <v>1221</v>
      </c>
      <c r="O105" s="41"/>
    </row>
    <row r="106" spans="1:15" s="1" customFormat="1" ht="20.05" customHeight="1" thickBot="1" x14ac:dyDescent="0.35">
      <c r="A106" s="49"/>
      <c r="B106" s="50">
        <f>SUM(B3:B105)</f>
        <v>103</v>
      </c>
      <c r="C106" s="165" t="s">
        <v>122</v>
      </c>
      <c r="D106" s="165"/>
      <c r="E106" s="165"/>
      <c r="F106" s="165"/>
      <c r="G106" s="51">
        <f t="shared" ref="G106:M106" si="4">SUM(G3:G105)</f>
        <v>18100</v>
      </c>
      <c r="H106" s="51">
        <f t="shared" si="4"/>
        <v>17869</v>
      </c>
      <c r="I106" s="51">
        <f t="shared" si="4"/>
        <v>3406</v>
      </c>
      <c r="J106" s="51">
        <f t="shared" si="4"/>
        <v>3133</v>
      </c>
      <c r="K106" s="51">
        <f>SUM(K3:K105)</f>
        <v>14544</v>
      </c>
      <c r="L106" s="51">
        <f t="shared" si="4"/>
        <v>15008</v>
      </c>
      <c r="M106" s="51">
        <f t="shared" si="4"/>
        <v>108070</v>
      </c>
      <c r="N106" s="51">
        <f>SUM(N3:N105)</f>
        <v>72060</v>
      </c>
      <c r="O106" s="52">
        <f>SUM(O3:O105)</f>
        <v>108070</v>
      </c>
    </row>
  </sheetData>
  <mergeCells count="37">
    <mergeCell ref="C106:D106"/>
    <mergeCell ref="E106:F106"/>
    <mergeCell ref="A1:A2"/>
    <mergeCell ref="B1:B2"/>
    <mergeCell ref="C1:C2"/>
    <mergeCell ref="A53:A61"/>
    <mergeCell ref="A62:A70"/>
    <mergeCell ref="B33:B42"/>
    <mergeCell ref="B43:B52"/>
    <mergeCell ref="B53:B61"/>
    <mergeCell ref="B62:B70"/>
    <mergeCell ref="A3:A11"/>
    <mergeCell ref="A12:A20"/>
    <mergeCell ref="A21:A32"/>
    <mergeCell ref="A33:A42"/>
    <mergeCell ref="A43:A52"/>
    <mergeCell ref="A99:A105"/>
    <mergeCell ref="A71:A77"/>
    <mergeCell ref="A78:A83"/>
    <mergeCell ref="A84:A93"/>
    <mergeCell ref="B71:B77"/>
    <mergeCell ref="B78:B83"/>
    <mergeCell ref="B84:B93"/>
    <mergeCell ref="B94:B98"/>
    <mergeCell ref="B99:B105"/>
    <mergeCell ref="A94:A98"/>
    <mergeCell ref="M1:M2"/>
    <mergeCell ref="N1:N2"/>
    <mergeCell ref="B3:B11"/>
    <mergeCell ref="B12:B20"/>
    <mergeCell ref="B21:B32"/>
    <mergeCell ref="E1:E2"/>
    <mergeCell ref="F1:F2"/>
    <mergeCell ref="G1:H1"/>
    <mergeCell ref="I1:J1"/>
    <mergeCell ref="K1:L1"/>
    <mergeCell ref="D1:D2"/>
  </mergeCells>
  <pageMargins left="0.7" right="0.7" top="0.75" bottom="0.75" header="0.3" footer="0.3"/>
  <pageSetup paperSize="9" orientation="portrait" r:id="rId1"/>
  <ignoredErrors>
    <ignoredError sqref="N3:N105 G106:J106 L10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DASHBOARD</vt:lpstr>
      <vt:lpstr>2026</vt:lpstr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 Murat</dc:creator>
  <cp:lastModifiedBy>Engin Murat</cp:lastModifiedBy>
  <cp:lastPrinted>2026-01-12T09:03:45Z</cp:lastPrinted>
  <dcterms:created xsi:type="dcterms:W3CDTF">2015-06-05T18:19:34Z</dcterms:created>
  <dcterms:modified xsi:type="dcterms:W3CDTF">2026-08-11T14:18:10Z</dcterms:modified>
</cp:coreProperties>
</file>